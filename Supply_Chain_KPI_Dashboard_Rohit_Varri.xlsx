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ROHIT VARRI\"/>
    </mc:Choice>
  </mc:AlternateContent>
  <xr:revisionPtr revIDLastSave="0" documentId="8_{020F8A0B-9AF2-486F-9C39-9927DA4A7047}" xr6:coauthVersionLast="47" xr6:coauthVersionMax="47" xr10:uidLastSave="{00000000-0000-0000-0000-000000000000}"/>
  <bookViews>
    <workbookView xWindow="-108" yWindow="-108" windowWidth="23256" windowHeight="12456" activeTab="1" xr2:uid="{00000000-000D-0000-FFFF-FFFF00000000}"/>
  </bookViews>
  <sheets>
    <sheet name="Sheet3" sheetId="4" r:id="rId1"/>
    <sheet name="KPI_summary" sheetId="2" r:id="rId2"/>
    <sheet name="dashboard" sheetId="5" r:id="rId3"/>
  </sheets>
  <definedNames>
    <definedName name="kpi">KPI_summary!$A$1:$O$301</definedName>
    <definedName name="Slicer_Category">#N/A</definedName>
    <definedName name="Slicer_Month">#N/A</definedName>
    <definedName name="Slicer_Region">#N/A</definedName>
    <definedName name="Slicer_Vendor">#N/A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 i="2" l="1"/>
  <c r="L302" i="2"/>
  <c r="F30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R4" i="2"/>
  <c r="O302" i="2"/>
  <c r="N302" i="2"/>
  <c r="M302" i="2"/>
  <c r="K302" i="2"/>
  <c r="J302" i="2"/>
  <c r="I302" i="2"/>
  <c r="H302" i="2"/>
  <c r="G302" i="2"/>
</calcChain>
</file>

<file path=xl/sharedStrings.xml><?xml version="1.0" encoding="utf-8"?>
<sst xmlns="http://schemas.openxmlformats.org/spreadsheetml/2006/main" count="1561" uniqueCount="352">
  <si>
    <t>Order_ID</t>
  </si>
  <si>
    <t>Month</t>
  </si>
  <si>
    <t>Vendor</t>
  </si>
  <si>
    <t>Category</t>
  </si>
  <si>
    <t>Region</t>
  </si>
  <si>
    <t>Orders_Placed</t>
  </si>
  <si>
    <t>Orders_Delivered_OnTime</t>
  </si>
  <si>
    <t>Orders_Delayed</t>
  </si>
  <si>
    <t>Inventory_Level</t>
  </si>
  <si>
    <t>Reorder_Point</t>
  </si>
  <si>
    <t>Stockout_Days</t>
  </si>
  <si>
    <t>Procurement_Cost_INR</t>
  </si>
  <si>
    <t>Budget_INR</t>
  </si>
  <si>
    <t>Defect_Units</t>
  </si>
  <si>
    <t>Total_Units</t>
  </si>
  <si>
    <t>ORD1001</t>
  </si>
  <si>
    <t>Jan</t>
  </si>
  <si>
    <t>Reliance Logistics</t>
  </si>
  <si>
    <t>Electronics</t>
  </si>
  <si>
    <t>North</t>
  </si>
  <si>
    <t>ORD1002</t>
  </si>
  <si>
    <t>FMCG</t>
  </si>
  <si>
    <t>ORD1003</t>
  </si>
  <si>
    <t>Apparel</t>
  </si>
  <si>
    <t>South</t>
  </si>
  <si>
    <t>ORD1004</t>
  </si>
  <si>
    <t>Pharma</t>
  </si>
  <si>
    <t>ORD1005</t>
  </si>
  <si>
    <t>Automotive</t>
  </si>
  <si>
    <t>East</t>
  </si>
  <si>
    <t>ORD1006</t>
  </si>
  <si>
    <t>BlueDart</t>
  </si>
  <si>
    <t>West</t>
  </si>
  <si>
    <t>ORD1007</t>
  </si>
  <si>
    <t>ORD1008</t>
  </si>
  <si>
    <t>ORD1009</t>
  </si>
  <si>
    <t>ORD1010</t>
  </si>
  <si>
    <t>ORD1011</t>
  </si>
  <si>
    <t>Delhivery</t>
  </si>
  <si>
    <t>ORD1012</t>
  </si>
  <si>
    <t>ORD1013</t>
  </si>
  <si>
    <t>ORD1014</t>
  </si>
  <si>
    <t>ORD1015</t>
  </si>
  <si>
    <t>ORD1016</t>
  </si>
  <si>
    <t>Ecom Express</t>
  </si>
  <si>
    <t>ORD1017</t>
  </si>
  <si>
    <t>ORD1018</t>
  </si>
  <si>
    <t>ORD1019</t>
  </si>
  <si>
    <t>ORD1020</t>
  </si>
  <si>
    <t>ORD1021</t>
  </si>
  <si>
    <t>XpressBees</t>
  </si>
  <si>
    <t>ORD1022</t>
  </si>
  <si>
    <t>ORD1023</t>
  </si>
  <si>
    <t>ORD1024</t>
  </si>
  <si>
    <t>ORD1025</t>
  </si>
  <si>
    <t>ORD1026</t>
  </si>
  <si>
    <t>Feb</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</si>
  <si>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</si>
  <si>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</si>
  <si>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</si>
  <si>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</si>
  <si>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</si>
  <si>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</si>
  <si>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</si>
  <si>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</si>
  <si>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</si>
  <si>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</si>
  <si>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</si>
  <si>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</si>
  <si>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</si>
  <si>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</si>
  <si>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</si>
  <si>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</si>
  <si>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</si>
  <si>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</si>
  <si>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</si>
  <si>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</si>
  <si>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</si>
  <si>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</si>
  <si>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</si>
  <si>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</si>
  <si>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</si>
  <si>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Mar</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</si>
  <si>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</si>
  <si>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</si>
  <si>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</si>
  <si>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</si>
  <si>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</si>
  <si>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</si>
  <si>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</si>
  <si>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</si>
  <si>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</si>
  <si>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</si>
  <si>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</si>
  <si>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</si>
  <si>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</si>
  <si>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</si>
  <si>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</si>
  <si>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</si>
  <si>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</si>
  <si>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</si>
  <si>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</si>
  <si>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</si>
  <si>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</si>
  <si>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</si>
  <si>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</si>
  <si>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</si>
  <si>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</si>
  <si>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Apr</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</si>
  <si>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</si>
  <si>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</si>
  <si>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</si>
  <si>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</si>
  <si>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</si>
  <si>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</si>
  <si>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</si>
  <si>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</si>
  <si>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</si>
  <si>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</si>
  <si>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</si>
  <si>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</si>
  <si>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</si>
  <si>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</si>
  <si>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</si>
  <si>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</si>
  <si>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</si>
  <si>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</si>
  <si>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</si>
  <si>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</si>
  <si>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</si>
  <si>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</si>
  <si>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</si>
  <si>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</si>
  <si>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</si>
  <si>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May</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</si>
  <si>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</si>
  <si>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</si>
  <si>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</si>
  <si>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</si>
  <si>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</si>
  <si>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</si>
  <si>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</si>
  <si>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</si>
  <si>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</si>
  <si>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</si>
  <si>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</si>
  <si>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</si>
  <si>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</si>
  <si>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</si>
  <si>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</si>
  <si>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</si>
  <si>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</si>
  <si>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</si>
  <si>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</si>
  <si>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</si>
  <si>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</si>
  <si>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</si>
  <si>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</si>
  <si>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</si>
  <si>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</si>
  <si>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Jun</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</si>
  <si>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</si>
  <si>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</si>
  <si>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</si>
  <si>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</si>
  <si>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</si>
  <si>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</si>
  <si>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</si>
  <si>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</si>
  <si>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</si>
  <si>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</si>
  <si>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</si>
  <si>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</si>
  <si>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</si>
  <si>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</si>
  <si>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</si>
  <si>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</si>
  <si>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</si>
  <si>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</si>
  <si>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</si>
  <si>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</si>
  <si>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</si>
  <si>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</si>
  <si>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</si>
  <si>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</si>
  <si>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</si>
  <si>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Jul</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</si>
  <si>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</si>
  <si>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</si>
  <si>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</si>
  <si>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</si>
  <si>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</si>
  <si>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</si>
  <si>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</si>
  <si>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</si>
  <si>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</si>
  <si>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</si>
  <si>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</si>
  <si>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</si>
  <si>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</si>
  <si>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</si>
  <si>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</si>
  <si>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</si>
  <si>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</si>
  <si>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</si>
  <si>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</si>
  <si>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</si>
  <si>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</si>
  <si>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</si>
  <si>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</si>
  <si>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</si>
  <si>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</si>
  <si>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Aug</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</si>
  <si>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</si>
  <si>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</si>
  <si>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</si>
  <si>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</si>
  <si>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</si>
  <si>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</si>
  <si>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</si>
  <si>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</si>
  <si>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</si>
  <si>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</si>
  <si>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</si>
  <si>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</si>
  <si>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</si>
  <si>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</si>
  <si>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</si>
  <si>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</si>
  <si>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</si>
  <si>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</si>
  <si>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</si>
  <si>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</si>
  <si>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</si>
  <si>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</si>
  <si>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</si>
  <si>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</si>
  <si>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</si>
  <si>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Sep</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</si>
  <si>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</si>
  <si>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</si>
  <si>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</si>
  <si>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</si>
  <si>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</si>
  <si>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</si>
  <si>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</si>
  <si>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</si>
  <si>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</si>
  <si>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</si>
  <si>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</si>
  <si>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</si>
  <si>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</si>
  <si>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</si>
  <si>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</si>
  <si>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</si>
  <si>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</si>
  <si>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</si>
  <si>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</si>
  <si>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</si>
  <si>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</si>
  <si>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</si>
  <si>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</si>
  <si>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</si>
  <si>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</si>
  <si>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Oct</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</si>
  <si>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</si>
  <si>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</si>
  <si>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</si>
  <si>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</si>
  <si>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</si>
  <si>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</si>
  <si>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</si>
  <si>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</si>
  <si>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</si>
  <si>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</si>
  <si>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</si>
  <si>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</si>
  <si>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</si>
  <si>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</si>
  <si>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</si>
  <si>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</si>
  <si>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</si>
  <si>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</si>
  <si>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</si>
  <si>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</si>
  <si>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</si>
  <si>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</si>
  <si>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</si>
  <si>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</si>
  <si>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</si>
  <si>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Nov</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</si>
  <si>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</si>
  <si>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</si>
  <si>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</si>
  <si>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</si>
  <si>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</si>
  <si>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</si>
  <si>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</si>
  <si>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</si>
  <si>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</si>
  <si>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</si>
  <si>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</si>
  <si>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</si>
  <si>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</si>
  <si>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</si>
  <si>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</si>
  <si>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</si>
  <si>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</si>
  <si>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</si>
  <si>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</si>
  <si>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</si>
  <si>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</si>
  <si>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</si>
  <si>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</si>
  <si>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</si>
  <si>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</si>
  <si>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Dec</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</si>
  <si>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</si>
  <si>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</si>
  <si>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</si>
  <si>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</si>
  <si>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</si>
  <si>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</si>
  <si>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</si>
  <si>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</si>
  <si>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</si>
  <si>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</si>
  <si>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</si>
  <si>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</si>
  <si>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</si>
  <si>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</si>
  <si>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</si>
  <si>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</si>
  <si>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</si>
  <si>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</si>
  <si>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</si>
  <si>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</si>
  <si>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</si>
  <si>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</si>
  <si>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</si>
  <si>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</si>
  <si>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OTIF%</t>
  </si>
  <si>
    <t>Row Labels</t>
  </si>
  <si>
    <t>Grand Total</t>
  </si>
  <si>
    <t>Sum of Orders_Placed</t>
  </si>
  <si>
    <t>Sum of Orders_Delivered_OnTime</t>
  </si>
  <si>
    <t>Sum of Orders_Delayed</t>
  </si>
  <si>
    <t>Sum of Procurement_Cost_INR</t>
  </si>
  <si>
    <t>Sum of Budget_INR</t>
  </si>
  <si>
    <t>Average of OTIF%</t>
  </si>
  <si>
    <t>SUPPLY CHAIN KPI DASHBOARD 2024-2025</t>
  </si>
  <si>
    <t xml:space="preserve">ANALYST : ROHIT VARRI / MBA IN LOGISTICS AND SCM / VIKRAMA SIMHAPURI UNIVERSITY / 2026 BATCH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</si>
</sst>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color rgb="FF000000"/>
      <name val="Arial"/>
    </font>
    <font>
      <b/>
      <i/>
      <sz val="14"/>
      <color rgb="FF0070C0"/>
      <name val="Calibri"/>
      <family val="2"/>
      <scheme val="minor"/>
    </font>
    <font>
      <b/>
      <i/>
      <sz val="11"/>
      <color rgb="FF0070C0"/>
      <name val="Calibri"/>
      <family val="2"/>
      <scheme val="minor"/>
    </font>
  </fonts>
  <fills count="5">
    <fill>
      <patternFill patternType="none"/>
    </fill>
    <fill>
      <patternFill patternType="gray125"/>
    </fill>
    <fill>
      <patternFill patternType="solid">
        <fgColor rgb="FF1F3864"/>
      </patternFill>
    </fill>
    <fill>
      <patternFill patternType="solid">
        <fgColor rgb="FFF2F2F2"/>
      </patternFill>
    </fill>
    <fill>
      <patternFill patternType="solid">
        <fgColor rgb="FF1F3864"/>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2" fillId="3" borderId="2" xfId="0" applyFont="1" applyFill="1" applyBorder="1" applyAlignment="1">
      <alignment horizontal="left" vertical="center"/>
    </xf>
    <xf numFmtId="0" fontId="2" fillId="0" borderId="2" xfId="0" applyFont="1" applyBorder="1" applyAlignment="1">
      <alignment horizontal="left" vertical="center"/>
    </xf>
    <xf numFmtId="0" fontId="2" fillId="3" borderId="3" xfId="0" applyFont="1" applyFill="1" applyBorder="1" applyAlignment="1">
      <alignment horizontal="left" vertical="center"/>
    </xf>
    <xf numFmtId="0" fontId="2" fillId="0" borderId="3" xfId="0" applyFont="1" applyBorder="1" applyAlignment="1">
      <alignment horizontal="left"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5" xfId="0" applyFont="1" applyBorder="1" applyAlignment="1">
      <alignment horizontal="left" vertical="center"/>
    </xf>
    <xf numFmtId="0" fontId="1" fillId="4"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2" fillId="0" borderId="8" xfId="0" applyNumberFormat="1" applyFont="1" applyBorder="1" applyAlignment="1">
      <alignment horizontal="left" vertical="center"/>
    </xf>
    <xf numFmtId="0" fontId="0" fillId="0" borderId="0" xfId="0" applyAlignment="1">
      <alignment horizontal="center"/>
    </xf>
    <xf numFmtId="0" fontId="3" fillId="0" borderId="0" xfId="0" applyFont="1"/>
    <xf numFmtId="0" fontId="4" fillId="0" borderId="0" xfId="0" applyFont="1"/>
  </cellXfs>
  <cellStyles count="1">
    <cellStyle name="Normal" xfId="0" builtinId="0"/>
  </cellStyles>
  <dxfs count="38">
    <dxf>
      <font>
        <b val="0"/>
        <i val="0"/>
        <strike val="0"/>
        <condense val="0"/>
        <extend val="0"/>
        <outline val="0"/>
        <shadow val="0"/>
        <u val="none"/>
        <vertAlign val="baseline"/>
        <sz val="10"/>
        <color rgb="FF000000"/>
        <name val="Arial"/>
        <scheme val="none"/>
      </font>
      <numFmt numFmtId="0" formatCode="Genera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outline="0">
        <left/>
        <right style="thin">
          <color rgb="FFBFBFBF"/>
        </right>
        <top style="thin">
          <color rgb="FFBFBFBF"/>
        </top>
        <bottom/>
      </border>
    </dxf>
    <dxf>
      <font>
        <b val="0"/>
        <i val="0"/>
        <strike val="0"/>
        <condense val="0"/>
        <extend val="0"/>
        <outline val="0"/>
        <shadow val="0"/>
        <u val="none"/>
        <vertAlign val="baseline"/>
        <sz val="10"/>
        <color rgb="FF000000"/>
        <name val="Arial"/>
        <scheme val="none"/>
      </font>
      <numFmt numFmtId="0" formatCode="Genera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color rgb="FF006100"/>
      </font>
      <fill>
        <patternFill>
          <bgColor rgb="FFC6EFCE"/>
        </patternFill>
      </fill>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9" defaultPivotStyle="PivotStyleLight16"/>
  <colors>
    <mruColors>
      <color rgb="FF1F3864"/>
      <color rgb="FFBDD7EE"/>
      <color rgb="FFF78E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[Supply_Chain_KPI_Dashboard_Rohit_Varri.xlsx]Sheet3!PivotTable2</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Sum of Orders_Placed</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3572</c:v>
                </c:pt>
                <c:pt idx="1">
                  <c:v>3185</c:v>
                </c:pt>
                <c:pt idx="2">
                  <c:v>3680</c:v>
                </c:pt>
                <c:pt idx="3">
                  <c:v>3535</c:v>
                </c:pt>
                <c:pt idx="4">
                  <c:v>3853</c:v>
                </c:pt>
                <c:pt idx="5">
                  <c:v>3636</c:v>
                </c:pt>
                <c:pt idx="6">
                  <c:v>3317</c:v>
                </c:pt>
                <c:pt idx="7">
                  <c:v>3339</c:v>
                </c:pt>
                <c:pt idx="8">
                  <c:v>3572</c:v>
                </c:pt>
                <c:pt idx="9">
                  <c:v>3357</c:v>
                </c:pt>
                <c:pt idx="10">
                  <c:v>3627</c:v>
                </c:pt>
                <c:pt idx="11">
                  <c:v>3800</c:v>
                </c:pt>
              </c:numCache>
            </c:numRef>
          </c:val>
          <c:smooth val="0"/>
          <c:extLst>
            <c:ext xmlns:c16="http://schemas.microsoft.com/office/drawing/2014/chart" uri="{C3380CC4-5D6E-409C-BE32-E72D297353CC}">
              <c16:uniqueId val="{00000000-BD59-45E5-A8F9-237720A2D61D}"/>
            </c:ext>
          </c:extLst>
        </c:ser>
        <c:ser>
          <c:idx val="1"/>
          <c:order val="1"/>
          <c:tx>
            <c:strRef>
              <c:f>Sheet3!$C$3</c:f>
              <c:strCache>
                <c:ptCount val="1"/>
                <c:pt idx="0">
                  <c:v>Sum of Orders_Delivered_OnTime</c:v>
                </c:pt>
              </c:strCache>
            </c:strRef>
          </c:tx>
          <c:spPr>
            <a:ln w="28575" cap="rnd">
              <a:solidFill>
                <a:schemeClr val="accent2"/>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Sheet3!$C$4:$C$16</c:f>
              <c:numCache>
                <c:formatCode>General</c:formatCode>
                <c:ptCount val="12"/>
                <c:pt idx="0">
                  <c:v>2882</c:v>
                </c:pt>
                <c:pt idx="1">
                  <c:v>2671</c:v>
                </c:pt>
                <c:pt idx="2">
                  <c:v>2969</c:v>
                </c:pt>
                <c:pt idx="3">
                  <c:v>2922</c:v>
                </c:pt>
                <c:pt idx="4">
                  <c:v>3103</c:v>
                </c:pt>
                <c:pt idx="5">
                  <c:v>3005</c:v>
                </c:pt>
                <c:pt idx="6">
                  <c:v>2778</c:v>
                </c:pt>
                <c:pt idx="7">
                  <c:v>2786</c:v>
                </c:pt>
                <c:pt idx="8">
                  <c:v>3043</c:v>
                </c:pt>
                <c:pt idx="9">
                  <c:v>2735</c:v>
                </c:pt>
                <c:pt idx="10">
                  <c:v>2984</c:v>
                </c:pt>
                <c:pt idx="11">
                  <c:v>3081</c:v>
                </c:pt>
              </c:numCache>
            </c:numRef>
          </c:val>
          <c:smooth val="0"/>
          <c:extLst>
            <c:ext xmlns:c16="http://schemas.microsoft.com/office/drawing/2014/chart" uri="{C3380CC4-5D6E-409C-BE32-E72D297353CC}">
              <c16:uniqueId val="{00000001-BD59-45E5-A8F9-237720A2D61D}"/>
            </c:ext>
          </c:extLst>
        </c:ser>
        <c:ser>
          <c:idx val="2"/>
          <c:order val="2"/>
          <c:tx>
            <c:strRef>
              <c:f>Sheet3!$D$3</c:f>
              <c:strCache>
                <c:ptCount val="1"/>
                <c:pt idx="0">
                  <c:v>Average of OTIF%</c:v>
                </c:pt>
              </c:strCache>
            </c:strRef>
          </c:tx>
          <c:spPr>
            <a:ln w="28575" cap="rnd">
              <a:solidFill>
                <a:schemeClr val="accent3"/>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Sheet3!$D$4:$D$16</c:f>
              <c:numCache>
                <c:formatCode>General</c:formatCode>
                <c:ptCount val="12"/>
                <c:pt idx="0">
                  <c:v>81.001577795684838</c:v>
                </c:pt>
                <c:pt idx="1">
                  <c:v>83.000970553605839</c:v>
                </c:pt>
                <c:pt idx="2">
                  <c:v>80.386559590472402</c:v>
                </c:pt>
                <c:pt idx="3">
                  <c:v>82.855337809712893</c:v>
                </c:pt>
                <c:pt idx="4">
                  <c:v>80.926290882189491</c:v>
                </c:pt>
                <c:pt idx="5">
                  <c:v>82.967884732118961</c:v>
                </c:pt>
                <c:pt idx="6">
                  <c:v>83.118482716567399</c:v>
                </c:pt>
                <c:pt idx="7">
                  <c:v>83.386896894080806</c:v>
                </c:pt>
                <c:pt idx="8">
                  <c:v>84.702139435745025</c:v>
                </c:pt>
                <c:pt idx="9">
                  <c:v>81.276344904259687</c:v>
                </c:pt>
                <c:pt idx="10">
                  <c:v>82.199859957348366</c:v>
                </c:pt>
                <c:pt idx="11">
                  <c:v>81.795135044428903</c:v>
                </c:pt>
              </c:numCache>
            </c:numRef>
          </c:val>
          <c:smooth val="0"/>
          <c:extLst>
            <c:ext xmlns:c16="http://schemas.microsoft.com/office/drawing/2014/chart" uri="{C3380CC4-5D6E-409C-BE32-E72D297353CC}">
              <c16:uniqueId val="{00000004-BD59-45E5-A8F9-237720A2D61D}"/>
            </c:ext>
          </c:extLst>
        </c:ser>
        <c:dLbls>
          <c:showLegendKey val="0"/>
          <c:showVal val="0"/>
          <c:showCatName val="0"/>
          <c:showSerName val="0"/>
          <c:showPercent val="0"/>
          <c:showBubbleSize val="0"/>
        </c:dLbls>
        <c:smooth val="0"/>
        <c:axId val="200146752"/>
        <c:axId val="200145792"/>
      </c:lineChart>
      <c:catAx>
        <c:axId val="20014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MONTHLY</a:t>
                </a:r>
                <a:r>
                  <a:rPr lang="en-IN" b="1" baseline="0"/>
                  <a:t> OTIF TREND</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5792"/>
        <c:crosses val="autoZero"/>
        <c:auto val="1"/>
        <c:lblAlgn val="ctr"/>
        <c:lblOffset val="100"/>
        <c:noMultiLvlLbl val="0"/>
      </c:catAx>
      <c:valAx>
        <c:axId val="2001457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Sheet3!$B$21</c:f>
              <c:strCache>
                <c:ptCount val="1"/>
                <c:pt idx="0">
                  <c:v>Sum of Orders_Placed</c:v>
                </c:pt>
              </c:strCache>
            </c:strRef>
          </c:tx>
          <c:spPr>
            <a:solidFill>
              <a:schemeClr val="accent1"/>
            </a:solidFill>
            <a:ln>
              <a:noFill/>
            </a:ln>
            <a:effectLst/>
          </c:spPr>
          <c:invertIfNegative val="0"/>
          <c:cat>
            <c:strRef>
              <c:f>Sheet3!$A$22:$A$27</c:f>
              <c:strCache>
                <c:ptCount val="5"/>
                <c:pt idx="0">
                  <c:v>BlueDart</c:v>
                </c:pt>
                <c:pt idx="1">
                  <c:v>Delhivery</c:v>
                </c:pt>
                <c:pt idx="2">
                  <c:v>Ecom Express</c:v>
                </c:pt>
                <c:pt idx="3">
                  <c:v>Reliance Logistics</c:v>
                </c:pt>
                <c:pt idx="4">
                  <c:v>XpressBees</c:v>
                </c:pt>
              </c:strCache>
            </c:strRef>
          </c:cat>
          <c:val>
            <c:numRef>
              <c:f>Sheet3!$B$22:$B$27</c:f>
              <c:numCache>
                <c:formatCode>General</c:formatCode>
                <c:ptCount val="5"/>
                <c:pt idx="0">
                  <c:v>8523</c:v>
                </c:pt>
                <c:pt idx="1">
                  <c:v>8383</c:v>
                </c:pt>
                <c:pt idx="2">
                  <c:v>8365</c:v>
                </c:pt>
                <c:pt idx="3">
                  <c:v>8298</c:v>
                </c:pt>
                <c:pt idx="4">
                  <c:v>8904</c:v>
                </c:pt>
              </c:numCache>
            </c:numRef>
          </c:val>
          <c:extLst>
            <c:ext xmlns:c16="http://schemas.microsoft.com/office/drawing/2014/chart" uri="{C3380CC4-5D6E-409C-BE32-E72D297353CC}">
              <c16:uniqueId val="{00000000-A457-4CBF-814C-91ED285404A8}"/>
            </c:ext>
          </c:extLst>
        </c:ser>
        <c:ser>
          <c:idx val="1"/>
          <c:order val="1"/>
          <c:tx>
            <c:strRef>
              <c:f>Sheet3!$C$21</c:f>
              <c:strCache>
                <c:ptCount val="1"/>
                <c:pt idx="0">
                  <c:v>Sum of Orders_Delivered_OnTime</c:v>
                </c:pt>
              </c:strCache>
            </c:strRef>
          </c:tx>
          <c:spPr>
            <a:solidFill>
              <a:schemeClr val="accent2"/>
            </a:solidFill>
            <a:ln>
              <a:noFill/>
            </a:ln>
            <a:effectLst/>
          </c:spPr>
          <c:invertIfNegative val="0"/>
          <c:cat>
            <c:strRef>
              <c:f>Sheet3!$A$22:$A$27</c:f>
              <c:strCache>
                <c:ptCount val="5"/>
                <c:pt idx="0">
                  <c:v>BlueDart</c:v>
                </c:pt>
                <c:pt idx="1">
                  <c:v>Delhivery</c:v>
                </c:pt>
                <c:pt idx="2">
                  <c:v>Ecom Express</c:v>
                </c:pt>
                <c:pt idx="3">
                  <c:v>Reliance Logistics</c:v>
                </c:pt>
                <c:pt idx="4">
                  <c:v>XpressBees</c:v>
                </c:pt>
              </c:strCache>
            </c:strRef>
          </c:cat>
          <c:val>
            <c:numRef>
              <c:f>Sheet3!$C$22:$C$27</c:f>
              <c:numCache>
                <c:formatCode>General</c:formatCode>
                <c:ptCount val="5"/>
                <c:pt idx="0">
                  <c:v>6946</c:v>
                </c:pt>
                <c:pt idx="1">
                  <c:v>6874</c:v>
                </c:pt>
                <c:pt idx="2">
                  <c:v>6914</c:v>
                </c:pt>
                <c:pt idx="3">
                  <c:v>6854</c:v>
                </c:pt>
                <c:pt idx="4">
                  <c:v>7371</c:v>
                </c:pt>
              </c:numCache>
            </c:numRef>
          </c:val>
          <c:extLst>
            <c:ext xmlns:c16="http://schemas.microsoft.com/office/drawing/2014/chart" uri="{C3380CC4-5D6E-409C-BE32-E72D297353CC}">
              <c16:uniqueId val="{00000001-A457-4CBF-814C-91ED285404A8}"/>
            </c:ext>
          </c:extLst>
        </c:ser>
        <c:ser>
          <c:idx val="2"/>
          <c:order val="2"/>
          <c:tx>
            <c:strRef>
              <c:f>Sheet3!$D$21</c:f>
              <c:strCache>
                <c:ptCount val="1"/>
                <c:pt idx="0">
                  <c:v>Sum of Orders_Delayed</c:v>
                </c:pt>
              </c:strCache>
            </c:strRef>
          </c:tx>
          <c:spPr>
            <a:solidFill>
              <a:schemeClr val="accent3"/>
            </a:solidFill>
            <a:ln>
              <a:noFill/>
            </a:ln>
            <a:effectLst/>
          </c:spPr>
          <c:invertIfNegative val="0"/>
          <c:cat>
            <c:strRef>
              <c:f>Sheet3!$A$22:$A$27</c:f>
              <c:strCache>
                <c:ptCount val="5"/>
                <c:pt idx="0">
                  <c:v>BlueDart</c:v>
                </c:pt>
                <c:pt idx="1">
                  <c:v>Delhivery</c:v>
                </c:pt>
                <c:pt idx="2">
                  <c:v>Ecom Express</c:v>
                </c:pt>
                <c:pt idx="3">
                  <c:v>Reliance Logistics</c:v>
                </c:pt>
                <c:pt idx="4">
                  <c:v>XpressBees</c:v>
                </c:pt>
              </c:strCache>
            </c:strRef>
          </c:cat>
          <c:val>
            <c:numRef>
              <c:f>Sheet3!$D$22:$D$27</c:f>
              <c:numCache>
                <c:formatCode>General</c:formatCode>
                <c:ptCount val="5"/>
                <c:pt idx="0">
                  <c:v>1577</c:v>
                </c:pt>
                <c:pt idx="1">
                  <c:v>1509</c:v>
                </c:pt>
                <c:pt idx="2">
                  <c:v>1451</c:v>
                </c:pt>
                <c:pt idx="3">
                  <c:v>1444</c:v>
                </c:pt>
                <c:pt idx="4">
                  <c:v>1533</c:v>
                </c:pt>
              </c:numCache>
            </c:numRef>
          </c:val>
          <c:extLst>
            <c:ext xmlns:c16="http://schemas.microsoft.com/office/drawing/2014/chart" uri="{C3380CC4-5D6E-409C-BE32-E72D297353CC}">
              <c16:uniqueId val="{00000002-A457-4CBF-814C-91ED285404A8}"/>
            </c:ext>
          </c:extLst>
        </c:ser>
        <c:dLbls>
          <c:showLegendKey val="0"/>
          <c:showVal val="0"/>
          <c:showCatName val="0"/>
          <c:showSerName val="0"/>
          <c:showPercent val="0"/>
          <c:showBubbleSize val="0"/>
        </c:dLbls>
        <c:gapWidth val="182"/>
        <c:axId val="200164032"/>
        <c:axId val="200163072"/>
      </c:barChart>
      <c:catAx>
        <c:axId val="20016403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3072"/>
        <c:crosses val="autoZero"/>
        <c:auto val="1"/>
        <c:lblAlgn val="ctr"/>
        <c:lblOffset val="100"/>
        <c:noMultiLvlLbl val="0"/>
      </c:catAx>
      <c:valAx>
        <c:axId val="200163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VENDOR</a:t>
                </a:r>
                <a:r>
                  <a:rPr lang="en-IN" b="1" baseline="0"/>
                  <a:t> PERFORMANCE COMPARISON</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Sheet3!$B$30</c:f>
              <c:strCache>
                <c:ptCount val="1"/>
                <c:pt idx="0">
                  <c:v>Sum of Procurement_Cost_INR</c:v>
                </c:pt>
              </c:strCache>
            </c:strRef>
          </c:tx>
          <c:spPr>
            <a:solidFill>
              <a:schemeClr val="accent1"/>
            </a:solidFill>
            <a:ln>
              <a:noFill/>
            </a:ln>
            <a:effectLst/>
          </c:spPr>
          <c:invertIfNegative val="0"/>
          <c:cat>
            <c:strRef>
              <c:f>Sheet3!$A$31:$A$36</c:f>
              <c:strCache>
                <c:ptCount val="5"/>
                <c:pt idx="0">
                  <c:v>Apparel</c:v>
                </c:pt>
                <c:pt idx="1">
                  <c:v>Automotive</c:v>
                </c:pt>
                <c:pt idx="2">
                  <c:v>Electronics</c:v>
                </c:pt>
                <c:pt idx="3">
                  <c:v>FMCG</c:v>
                </c:pt>
                <c:pt idx="4">
                  <c:v>Pharma</c:v>
                </c:pt>
              </c:strCache>
            </c:strRef>
          </c:cat>
          <c:val>
            <c:numRef>
              <c:f>Sheet3!$B$31:$B$36</c:f>
              <c:numCache>
                <c:formatCode>General</c:formatCode>
                <c:ptCount val="5"/>
                <c:pt idx="0">
                  <c:v>9750623</c:v>
                </c:pt>
                <c:pt idx="1">
                  <c:v>9791315</c:v>
                </c:pt>
                <c:pt idx="2">
                  <c:v>10499202</c:v>
                </c:pt>
                <c:pt idx="3">
                  <c:v>10460164</c:v>
                </c:pt>
                <c:pt idx="4">
                  <c:v>9254763</c:v>
                </c:pt>
              </c:numCache>
            </c:numRef>
          </c:val>
          <c:extLst>
            <c:ext xmlns:c16="http://schemas.microsoft.com/office/drawing/2014/chart" uri="{C3380CC4-5D6E-409C-BE32-E72D297353CC}">
              <c16:uniqueId val="{00000000-E1B5-4C18-804C-322E24E1E45D}"/>
            </c:ext>
          </c:extLst>
        </c:ser>
        <c:ser>
          <c:idx val="1"/>
          <c:order val="1"/>
          <c:tx>
            <c:strRef>
              <c:f>Sheet3!$C$30</c:f>
              <c:strCache>
                <c:ptCount val="1"/>
                <c:pt idx="0">
                  <c:v>Sum of Budget_INR</c:v>
                </c:pt>
              </c:strCache>
            </c:strRef>
          </c:tx>
          <c:spPr>
            <a:solidFill>
              <a:schemeClr val="accent2"/>
            </a:solidFill>
            <a:ln>
              <a:noFill/>
            </a:ln>
            <a:effectLst/>
          </c:spPr>
          <c:invertIfNegative val="0"/>
          <c:cat>
            <c:strRef>
              <c:f>Sheet3!$A$31:$A$36</c:f>
              <c:strCache>
                <c:ptCount val="5"/>
                <c:pt idx="0">
                  <c:v>Apparel</c:v>
                </c:pt>
                <c:pt idx="1">
                  <c:v>Automotive</c:v>
                </c:pt>
                <c:pt idx="2">
                  <c:v>Electronics</c:v>
                </c:pt>
                <c:pt idx="3">
                  <c:v>FMCG</c:v>
                </c:pt>
                <c:pt idx="4">
                  <c:v>Pharma</c:v>
                </c:pt>
              </c:strCache>
            </c:strRef>
          </c:cat>
          <c:val>
            <c:numRef>
              <c:f>Sheet3!$C$31:$C$36</c:f>
              <c:numCache>
                <c:formatCode>General</c:formatCode>
                <c:ptCount val="5"/>
                <c:pt idx="0">
                  <c:v>10205180</c:v>
                </c:pt>
                <c:pt idx="1">
                  <c:v>10256849</c:v>
                </c:pt>
                <c:pt idx="2">
                  <c:v>11041766</c:v>
                </c:pt>
                <c:pt idx="3">
                  <c:v>11108443</c:v>
                </c:pt>
                <c:pt idx="4">
                  <c:v>9547113</c:v>
                </c:pt>
              </c:numCache>
            </c:numRef>
          </c:val>
          <c:extLst>
            <c:ext xmlns:c16="http://schemas.microsoft.com/office/drawing/2014/chart" uri="{C3380CC4-5D6E-409C-BE32-E72D297353CC}">
              <c16:uniqueId val="{00000001-E1B5-4C18-804C-322E24E1E45D}"/>
            </c:ext>
          </c:extLst>
        </c:ser>
        <c:dLbls>
          <c:showLegendKey val="0"/>
          <c:showVal val="0"/>
          <c:showCatName val="0"/>
          <c:showSerName val="0"/>
          <c:showPercent val="0"/>
          <c:showBubbleSize val="0"/>
        </c:dLbls>
        <c:gapWidth val="182"/>
        <c:axId val="200143392"/>
        <c:axId val="200133312"/>
      </c:barChart>
      <c:catAx>
        <c:axId val="20014339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3312"/>
        <c:crosses val="autoZero"/>
        <c:auto val="1"/>
        <c:lblAlgn val="ctr"/>
        <c:lblOffset val="100"/>
        <c:noMultiLvlLbl val="0"/>
      </c:catAx>
      <c:valAx>
        <c:axId val="200133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COST</a:t>
                </a:r>
                <a:r>
                  <a:rPr lang="en-IN" b="1" baseline="0"/>
                  <a:t> vs BUDGET BY CATEGORY</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Sheet3!$B$54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Sheet3!$A$55:$A$59</c:f>
              <c:strCache>
                <c:ptCount val="4"/>
                <c:pt idx="0">
                  <c:v>East</c:v>
                </c:pt>
                <c:pt idx="1">
                  <c:v>North</c:v>
                </c:pt>
                <c:pt idx="2">
                  <c:v>South</c:v>
                </c:pt>
                <c:pt idx="3">
                  <c:v>West</c:v>
                </c:pt>
              </c:strCache>
            </c:strRef>
          </c:cat>
          <c:val>
            <c:numRef>
              <c:f>Sheet3!$B$55:$B$59</c:f>
              <c:numCache>
                <c:formatCode>General</c:formatCode>
                <c:ptCount val="4"/>
                <c:pt idx="0">
                  <c:v>11808</c:v>
                </c:pt>
                <c:pt idx="1">
                  <c:v>10944</c:v>
                </c:pt>
                <c:pt idx="2">
                  <c:v>10331</c:v>
                </c:pt>
                <c:pt idx="3">
                  <c:v>9390</c:v>
                </c:pt>
              </c:numCache>
            </c:numRef>
          </c:val>
          <c:extLst>
            <c:ext xmlns:c16="http://schemas.microsoft.com/office/drawing/2014/chart" uri="{C3380CC4-5D6E-409C-BE32-E72D297353CC}">
              <c16:uniqueId val="{00000000-CAFA-4662-9CCC-D9827F3C00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Sheet3!$B$21</c:f>
              <c:strCache>
                <c:ptCount val="1"/>
                <c:pt idx="0">
                  <c:v>Sum of Orders_Placed</c:v>
                </c:pt>
              </c:strCache>
            </c:strRef>
          </c:tx>
          <c:spPr>
            <a:solidFill>
              <a:schemeClr val="accent1"/>
            </a:solidFill>
            <a:ln>
              <a:noFill/>
            </a:ln>
            <a:effectLst/>
          </c:spPr>
          <c:invertIfNegative val="0"/>
          <c:cat>
            <c:strRef>
              <c:f>Sheet3!$A$22:$A$27</c:f>
              <c:strCache>
                <c:ptCount val="5"/>
                <c:pt idx="0">
                  <c:v>BlueDart</c:v>
                </c:pt>
                <c:pt idx="1">
                  <c:v>Delhivery</c:v>
                </c:pt>
                <c:pt idx="2">
                  <c:v>Ecom Express</c:v>
                </c:pt>
                <c:pt idx="3">
                  <c:v>Reliance Logistics</c:v>
                </c:pt>
                <c:pt idx="4">
                  <c:v>XpressBees</c:v>
                </c:pt>
              </c:strCache>
            </c:strRef>
          </c:cat>
          <c:val>
            <c:numRef>
              <c:f>Sheet3!$B$22:$B$27</c:f>
              <c:numCache>
                <c:formatCode>General</c:formatCode>
                <c:ptCount val="5"/>
                <c:pt idx="0">
                  <c:v>8523</c:v>
                </c:pt>
                <c:pt idx="1">
                  <c:v>8383</c:v>
                </c:pt>
                <c:pt idx="2">
                  <c:v>8365</c:v>
                </c:pt>
                <c:pt idx="3">
                  <c:v>8298</c:v>
                </c:pt>
                <c:pt idx="4">
                  <c:v>8904</c:v>
                </c:pt>
              </c:numCache>
            </c:numRef>
          </c:val>
          <c:extLst>
            <c:ext xmlns:c16="http://schemas.microsoft.com/office/drawing/2014/chart" uri="{C3380CC4-5D6E-409C-BE32-E72D297353CC}">
              <c16:uniqueId val="{00000000-DAFF-48DF-B102-C3045EF9AD70}"/>
            </c:ext>
          </c:extLst>
        </c:ser>
        <c:ser>
          <c:idx val="1"/>
          <c:order val="1"/>
          <c:tx>
            <c:strRef>
              <c:f>Sheet3!$C$21</c:f>
              <c:strCache>
                <c:ptCount val="1"/>
                <c:pt idx="0">
                  <c:v>Sum of Orders_Delivered_OnTime</c:v>
                </c:pt>
              </c:strCache>
            </c:strRef>
          </c:tx>
          <c:spPr>
            <a:solidFill>
              <a:schemeClr val="accent2"/>
            </a:solidFill>
            <a:ln>
              <a:noFill/>
            </a:ln>
            <a:effectLst/>
          </c:spPr>
          <c:invertIfNegative val="0"/>
          <c:cat>
            <c:strRef>
              <c:f>Sheet3!$A$22:$A$27</c:f>
              <c:strCache>
                <c:ptCount val="5"/>
                <c:pt idx="0">
                  <c:v>BlueDart</c:v>
                </c:pt>
                <c:pt idx="1">
                  <c:v>Delhivery</c:v>
                </c:pt>
                <c:pt idx="2">
                  <c:v>Ecom Express</c:v>
                </c:pt>
                <c:pt idx="3">
                  <c:v>Reliance Logistics</c:v>
                </c:pt>
                <c:pt idx="4">
                  <c:v>XpressBees</c:v>
                </c:pt>
              </c:strCache>
            </c:strRef>
          </c:cat>
          <c:val>
            <c:numRef>
              <c:f>Sheet3!$C$22:$C$27</c:f>
              <c:numCache>
                <c:formatCode>General</c:formatCode>
                <c:ptCount val="5"/>
                <c:pt idx="0">
                  <c:v>6946</c:v>
                </c:pt>
                <c:pt idx="1">
                  <c:v>6874</c:v>
                </c:pt>
                <c:pt idx="2">
                  <c:v>6914</c:v>
                </c:pt>
                <c:pt idx="3">
                  <c:v>6854</c:v>
                </c:pt>
                <c:pt idx="4">
                  <c:v>7371</c:v>
                </c:pt>
              </c:numCache>
            </c:numRef>
          </c:val>
          <c:extLst>
            <c:ext xmlns:c16="http://schemas.microsoft.com/office/drawing/2014/chart" uri="{C3380CC4-5D6E-409C-BE32-E72D297353CC}">
              <c16:uniqueId val="{00000001-DAFF-48DF-B102-C3045EF9AD70}"/>
            </c:ext>
          </c:extLst>
        </c:ser>
        <c:ser>
          <c:idx val="2"/>
          <c:order val="2"/>
          <c:tx>
            <c:strRef>
              <c:f>Sheet3!$D$21</c:f>
              <c:strCache>
                <c:ptCount val="1"/>
                <c:pt idx="0">
                  <c:v>Sum of Orders_Delayed</c:v>
                </c:pt>
              </c:strCache>
            </c:strRef>
          </c:tx>
          <c:spPr>
            <a:solidFill>
              <a:schemeClr val="accent3"/>
            </a:solidFill>
            <a:ln>
              <a:noFill/>
            </a:ln>
            <a:effectLst/>
          </c:spPr>
          <c:invertIfNegative val="0"/>
          <c:cat>
            <c:strRef>
              <c:f>Sheet3!$A$22:$A$27</c:f>
              <c:strCache>
                <c:ptCount val="5"/>
                <c:pt idx="0">
                  <c:v>BlueDart</c:v>
                </c:pt>
                <c:pt idx="1">
                  <c:v>Delhivery</c:v>
                </c:pt>
                <c:pt idx="2">
                  <c:v>Ecom Express</c:v>
                </c:pt>
                <c:pt idx="3">
                  <c:v>Reliance Logistics</c:v>
                </c:pt>
                <c:pt idx="4">
                  <c:v>XpressBees</c:v>
                </c:pt>
              </c:strCache>
            </c:strRef>
          </c:cat>
          <c:val>
            <c:numRef>
              <c:f>Sheet3!$D$22:$D$27</c:f>
              <c:numCache>
                <c:formatCode>General</c:formatCode>
                <c:ptCount val="5"/>
                <c:pt idx="0">
                  <c:v>1577</c:v>
                </c:pt>
                <c:pt idx="1">
                  <c:v>1509</c:v>
                </c:pt>
                <c:pt idx="2">
                  <c:v>1451</c:v>
                </c:pt>
                <c:pt idx="3">
                  <c:v>1444</c:v>
                </c:pt>
                <c:pt idx="4">
                  <c:v>1533</c:v>
                </c:pt>
              </c:numCache>
            </c:numRef>
          </c:val>
          <c:extLst>
            <c:ext xmlns:c16="http://schemas.microsoft.com/office/drawing/2014/chart" uri="{C3380CC4-5D6E-409C-BE32-E72D297353CC}">
              <c16:uniqueId val="{00000002-DAFF-48DF-B102-C3045EF9AD70}"/>
            </c:ext>
          </c:extLst>
        </c:ser>
        <c:dLbls>
          <c:showLegendKey val="0"/>
          <c:showVal val="0"/>
          <c:showCatName val="0"/>
          <c:showSerName val="0"/>
          <c:showPercent val="0"/>
          <c:showBubbleSize val="0"/>
        </c:dLbls>
        <c:gapWidth val="182"/>
        <c:axId val="200164032"/>
        <c:axId val="200163072"/>
      </c:barChart>
      <c:catAx>
        <c:axId val="20016403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3072"/>
        <c:crosses val="autoZero"/>
        <c:auto val="1"/>
        <c:lblAlgn val="ctr"/>
        <c:lblOffset val="100"/>
        <c:noMultiLvlLbl val="0"/>
      </c:catAx>
      <c:valAx>
        <c:axId val="200163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VENDOR</a:t>
                </a:r>
                <a:r>
                  <a:rPr lang="en-IN" b="1" baseline="0"/>
                  <a:t> PERFORMANCE COMPARISON</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Sheet3!$B$30</c:f>
              <c:strCache>
                <c:ptCount val="1"/>
                <c:pt idx="0">
                  <c:v>Sum of Procurement_Cost_INR</c:v>
                </c:pt>
              </c:strCache>
            </c:strRef>
          </c:tx>
          <c:spPr>
            <a:solidFill>
              <a:schemeClr val="accent1"/>
            </a:solidFill>
            <a:ln>
              <a:noFill/>
            </a:ln>
            <a:effectLst/>
          </c:spPr>
          <c:invertIfNegative val="0"/>
          <c:cat>
            <c:strRef>
              <c:f>Sheet3!$A$31:$A$36</c:f>
              <c:strCache>
                <c:ptCount val="5"/>
                <c:pt idx="0">
                  <c:v>Apparel</c:v>
                </c:pt>
                <c:pt idx="1">
                  <c:v>Automotive</c:v>
                </c:pt>
                <c:pt idx="2">
                  <c:v>Electronics</c:v>
                </c:pt>
                <c:pt idx="3">
                  <c:v>FMCG</c:v>
                </c:pt>
                <c:pt idx="4">
                  <c:v>Pharma</c:v>
                </c:pt>
              </c:strCache>
            </c:strRef>
          </c:cat>
          <c:val>
            <c:numRef>
              <c:f>Sheet3!$B$31:$B$36</c:f>
              <c:numCache>
                <c:formatCode>General</c:formatCode>
                <c:ptCount val="5"/>
                <c:pt idx="0">
                  <c:v>9750623</c:v>
                </c:pt>
                <c:pt idx="1">
                  <c:v>9791315</c:v>
                </c:pt>
                <c:pt idx="2">
                  <c:v>10499202</c:v>
                </c:pt>
                <c:pt idx="3">
                  <c:v>10460164</c:v>
                </c:pt>
                <c:pt idx="4">
                  <c:v>9254763</c:v>
                </c:pt>
              </c:numCache>
            </c:numRef>
          </c:val>
          <c:extLst>
            <c:ext xmlns:c16="http://schemas.microsoft.com/office/drawing/2014/chart" uri="{C3380CC4-5D6E-409C-BE32-E72D297353CC}">
              <c16:uniqueId val="{00000000-089C-471D-9B5B-26F2FEB4E57C}"/>
            </c:ext>
          </c:extLst>
        </c:ser>
        <c:ser>
          <c:idx val="1"/>
          <c:order val="1"/>
          <c:tx>
            <c:strRef>
              <c:f>Sheet3!$C$30</c:f>
              <c:strCache>
                <c:ptCount val="1"/>
                <c:pt idx="0">
                  <c:v>Sum of Budget_INR</c:v>
                </c:pt>
              </c:strCache>
            </c:strRef>
          </c:tx>
          <c:spPr>
            <a:solidFill>
              <a:schemeClr val="accent2"/>
            </a:solidFill>
            <a:ln>
              <a:noFill/>
            </a:ln>
            <a:effectLst/>
          </c:spPr>
          <c:invertIfNegative val="0"/>
          <c:cat>
            <c:strRef>
              <c:f>Sheet3!$A$31:$A$36</c:f>
              <c:strCache>
                <c:ptCount val="5"/>
                <c:pt idx="0">
                  <c:v>Apparel</c:v>
                </c:pt>
                <c:pt idx="1">
                  <c:v>Automotive</c:v>
                </c:pt>
                <c:pt idx="2">
                  <c:v>Electronics</c:v>
                </c:pt>
                <c:pt idx="3">
                  <c:v>FMCG</c:v>
                </c:pt>
                <c:pt idx="4">
                  <c:v>Pharma</c:v>
                </c:pt>
              </c:strCache>
            </c:strRef>
          </c:cat>
          <c:val>
            <c:numRef>
              <c:f>Sheet3!$C$31:$C$36</c:f>
              <c:numCache>
                <c:formatCode>General</c:formatCode>
                <c:ptCount val="5"/>
                <c:pt idx="0">
                  <c:v>10205180</c:v>
                </c:pt>
                <c:pt idx="1">
                  <c:v>10256849</c:v>
                </c:pt>
                <c:pt idx="2">
                  <c:v>11041766</c:v>
                </c:pt>
                <c:pt idx="3">
                  <c:v>11108443</c:v>
                </c:pt>
                <c:pt idx="4">
                  <c:v>9547113</c:v>
                </c:pt>
              </c:numCache>
            </c:numRef>
          </c:val>
          <c:extLst>
            <c:ext xmlns:c16="http://schemas.microsoft.com/office/drawing/2014/chart" uri="{C3380CC4-5D6E-409C-BE32-E72D297353CC}">
              <c16:uniqueId val="{00000001-089C-471D-9B5B-26F2FEB4E57C}"/>
            </c:ext>
          </c:extLst>
        </c:ser>
        <c:dLbls>
          <c:showLegendKey val="0"/>
          <c:showVal val="0"/>
          <c:showCatName val="0"/>
          <c:showSerName val="0"/>
          <c:showPercent val="0"/>
          <c:showBubbleSize val="0"/>
        </c:dLbls>
        <c:gapWidth val="182"/>
        <c:axId val="200143392"/>
        <c:axId val="200133312"/>
      </c:barChart>
      <c:catAx>
        <c:axId val="20014339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3312"/>
        <c:crosses val="autoZero"/>
        <c:auto val="1"/>
        <c:lblAlgn val="ctr"/>
        <c:lblOffset val="100"/>
        <c:noMultiLvlLbl val="0"/>
      </c:catAx>
      <c:valAx>
        <c:axId val="200133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COST</a:t>
                </a:r>
                <a:r>
                  <a:rPr lang="en-IN" b="1" baseline="0"/>
                  <a:t> vs BUDGET BY CATEGORY</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Sum of Orders_Placed</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3572</c:v>
                </c:pt>
                <c:pt idx="1">
                  <c:v>3185</c:v>
                </c:pt>
                <c:pt idx="2">
                  <c:v>3680</c:v>
                </c:pt>
                <c:pt idx="3">
                  <c:v>3535</c:v>
                </c:pt>
                <c:pt idx="4">
                  <c:v>3853</c:v>
                </c:pt>
                <c:pt idx="5">
                  <c:v>3636</c:v>
                </c:pt>
                <c:pt idx="6">
                  <c:v>3317</c:v>
                </c:pt>
                <c:pt idx="7">
                  <c:v>3339</c:v>
                </c:pt>
                <c:pt idx="8">
                  <c:v>3572</c:v>
                </c:pt>
                <c:pt idx="9">
                  <c:v>3357</c:v>
                </c:pt>
                <c:pt idx="10">
                  <c:v>3627</c:v>
                </c:pt>
                <c:pt idx="11">
                  <c:v>3800</c:v>
                </c:pt>
              </c:numCache>
            </c:numRef>
          </c:val>
          <c:smooth val="0"/>
          <c:extLst>
            <c:ext xmlns:c16="http://schemas.microsoft.com/office/drawing/2014/chart" uri="{C3380CC4-5D6E-409C-BE32-E72D297353CC}">
              <c16:uniqueId val="{00000000-B3E5-4433-B0A1-0C7242AED5D5}"/>
            </c:ext>
          </c:extLst>
        </c:ser>
        <c:ser>
          <c:idx val="1"/>
          <c:order val="1"/>
          <c:tx>
            <c:strRef>
              <c:f>Sheet3!$C$3</c:f>
              <c:strCache>
                <c:ptCount val="1"/>
                <c:pt idx="0">
                  <c:v>Sum of Orders_Delivered_OnTime</c:v>
                </c:pt>
              </c:strCache>
            </c:strRef>
          </c:tx>
          <c:spPr>
            <a:ln w="28575" cap="rnd">
              <a:solidFill>
                <a:schemeClr val="accent2"/>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Sheet3!$C$4:$C$16</c:f>
              <c:numCache>
                <c:formatCode>General</c:formatCode>
                <c:ptCount val="12"/>
                <c:pt idx="0">
                  <c:v>2882</c:v>
                </c:pt>
                <c:pt idx="1">
                  <c:v>2671</c:v>
                </c:pt>
                <c:pt idx="2">
                  <c:v>2969</c:v>
                </c:pt>
                <c:pt idx="3">
                  <c:v>2922</c:v>
                </c:pt>
                <c:pt idx="4">
                  <c:v>3103</c:v>
                </c:pt>
                <c:pt idx="5">
                  <c:v>3005</c:v>
                </c:pt>
                <c:pt idx="6">
                  <c:v>2778</c:v>
                </c:pt>
                <c:pt idx="7">
                  <c:v>2786</c:v>
                </c:pt>
                <c:pt idx="8">
                  <c:v>3043</c:v>
                </c:pt>
                <c:pt idx="9">
                  <c:v>2735</c:v>
                </c:pt>
                <c:pt idx="10">
                  <c:v>2984</c:v>
                </c:pt>
                <c:pt idx="11">
                  <c:v>3081</c:v>
                </c:pt>
              </c:numCache>
            </c:numRef>
          </c:val>
          <c:smooth val="0"/>
          <c:extLst>
            <c:ext xmlns:c16="http://schemas.microsoft.com/office/drawing/2014/chart" uri="{C3380CC4-5D6E-409C-BE32-E72D297353CC}">
              <c16:uniqueId val="{00000001-B3E5-4433-B0A1-0C7242AED5D5}"/>
            </c:ext>
          </c:extLst>
        </c:ser>
        <c:ser>
          <c:idx val="2"/>
          <c:order val="2"/>
          <c:tx>
            <c:strRef>
              <c:f>Sheet3!$D$3</c:f>
              <c:strCache>
                <c:ptCount val="1"/>
                <c:pt idx="0">
                  <c:v>Average of OTIF%</c:v>
                </c:pt>
              </c:strCache>
            </c:strRef>
          </c:tx>
          <c:spPr>
            <a:ln w="28575" cap="rnd">
              <a:solidFill>
                <a:schemeClr val="accent3"/>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Sheet3!$D$4:$D$16</c:f>
              <c:numCache>
                <c:formatCode>General</c:formatCode>
                <c:ptCount val="12"/>
                <c:pt idx="0">
                  <c:v>81.001577795684838</c:v>
                </c:pt>
                <c:pt idx="1">
                  <c:v>83.000970553605839</c:v>
                </c:pt>
                <c:pt idx="2">
                  <c:v>80.386559590472402</c:v>
                </c:pt>
                <c:pt idx="3">
                  <c:v>82.855337809712893</c:v>
                </c:pt>
                <c:pt idx="4">
                  <c:v>80.926290882189491</c:v>
                </c:pt>
                <c:pt idx="5">
                  <c:v>82.967884732118961</c:v>
                </c:pt>
                <c:pt idx="6">
                  <c:v>83.118482716567399</c:v>
                </c:pt>
                <c:pt idx="7">
                  <c:v>83.386896894080806</c:v>
                </c:pt>
                <c:pt idx="8">
                  <c:v>84.702139435745025</c:v>
                </c:pt>
                <c:pt idx="9">
                  <c:v>81.276344904259687</c:v>
                </c:pt>
                <c:pt idx="10">
                  <c:v>82.199859957348366</c:v>
                </c:pt>
                <c:pt idx="11">
                  <c:v>81.795135044428903</c:v>
                </c:pt>
              </c:numCache>
            </c:numRef>
          </c:val>
          <c:smooth val="0"/>
          <c:extLst>
            <c:ext xmlns:c16="http://schemas.microsoft.com/office/drawing/2014/chart" uri="{C3380CC4-5D6E-409C-BE32-E72D297353CC}">
              <c16:uniqueId val="{00000002-B3E5-4433-B0A1-0C7242AED5D5}"/>
            </c:ext>
          </c:extLst>
        </c:ser>
        <c:dLbls>
          <c:showLegendKey val="0"/>
          <c:showVal val="0"/>
          <c:showCatName val="0"/>
          <c:showSerName val="0"/>
          <c:showPercent val="0"/>
          <c:showBubbleSize val="0"/>
        </c:dLbls>
        <c:smooth val="0"/>
        <c:axId val="200146752"/>
        <c:axId val="200145792"/>
      </c:lineChart>
      <c:catAx>
        <c:axId val="20014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MONTHLY</a:t>
                </a:r>
                <a:r>
                  <a:rPr lang="en-IN" b="1" baseline="0"/>
                  <a:t> OTIF TREND</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5792"/>
        <c:crosses val="autoZero"/>
        <c:auto val="1"/>
        <c:lblAlgn val="ctr"/>
        <c:lblOffset val="100"/>
        <c:noMultiLvlLbl val="0"/>
      </c:catAx>
      <c:valAx>
        <c:axId val="2001457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[Supply_Chain_KPI_Dashboard_Rohit_Varri.xlsx]Sheet3!PivotTable5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DISTRIBUTION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F1-4B19-BA1C-6C0C5028B6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F1-4B19-BA1C-6C0C5028B6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F1-4B19-BA1C-6C0C5028B6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F1-4B19-BA1C-6C0C5028B6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Sheet3!$A$55:$A$59</c:f>
              <c:strCache>
                <c:ptCount val="4"/>
                <c:pt idx="0">
                  <c:v>East</c:v>
                </c:pt>
                <c:pt idx="1">
                  <c:v>North</c:v>
                </c:pt>
                <c:pt idx="2">
                  <c:v>South</c:v>
                </c:pt>
                <c:pt idx="3">
                  <c:v>West</c:v>
                </c:pt>
              </c:strCache>
            </c:strRef>
          </c:cat>
          <c:val>
            <c:numRef>
              <c:f>Sheet3!$B$55:$B$59</c:f>
              <c:numCache>
                <c:formatCode>General</c:formatCode>
                <c:ptCount val="4"/>
                <c:pt idx="0">
                  <c:v>11808</c:v>
                </c:pt>
                <c:pt idx="1">
                  <c:v>10944</c:v>
                </c:pt>
                <c:pt idx="2">
                  <c:v>10331</c:v>
                </c:pt>
                <c:pt idx="3">
                  <c:v>9390</c:v>
                </c:pt>
              </c:numCache>
            </c:numRef>
          </c:val>
          <c:extLst>
            <c:ext xmlns:c16="http://schemas.microsoft.com/office/drawing/2014/chart" uri="{C3380CC4-5D6E-409C-BE32-E72D297353CC}">
              <c16:uniqueId val="{00000008-A0F1-4B19-BA1C-6C0C5028B6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441960</xdr:colOff>
      <xdr:row>1</xdr:row>
      <xdr:rowOff>140970</xdr:rowOff>
    </xdr:from>
    <xdr:to>
      <xdr:col>12</xdr:col>
      <xdr:colOff>144780</xdr:colOff>
      <xdr:row>16</xdr:row>
      <xdr:rowOff>140970</xdr:rowOff>
    </xdr:to>
    <xdr:graphicFrame macro="">
      <xdr:nvGraphicFramePr>
        <xdr:cNvPr id="2" name="Chart 1">
          <a:extLst>
            <a:ext uri="{FF2B5EF4-FFF2-40B4-BE49-F238E27FC236}">
              <a16:creationId xmlns:a16="http://schemas.microsoft.com/office/drawing/2014/main" id="{0928A814-4FF3-D26D-B659-41631C1DD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220980</xdr:colOff>
      <xdr:row>18</xdr:row>
      <xdr:rowOff>102870</xdr:rowOff>
    </xdr:from>
    <xdr:to>
      <xdr:col>9</xdr:col>
      <xdr:colOff>541020</xdr:colOff>
      <xdr:row>33</xdr:row>
      <xdr:rowOff>102870</xdr:rowOff>
    </xdr:to>
    <xdr:graphicFrame macro="">
      <xdr:nvGraphicFramePr>
        <xdr:cNvPr id="3" name="Chart 2">
          <a:extLst>
            <a:ext uri="{FF2B5EF4-FFF2-40B4-BE49-F238E27FC236}">
              <a16:creationId xmlns:a16="http://schemas.microsoft.com/office/drawing/2014/main" id="{68598EEA-68F3-F60A-667C-AE1A3AC02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1158240</xdr:colOff>
      <xdr:row>35</xdr:row>
      <xdr:rowOff>57150</xdr:rowOff>
    </xdr:from>
    <xdr:to>
      <xdr:col>9</xdr:col>
      <xdr:colOff>266700</xdr:colOff>
      <xdr:row>50</xdr:row>
      <xdr:rowOff>57150</xdr:rowOff>
    </xdr:to>
    <xdr:graphicFrame macro="">
      <xdr:nvGraphicFramePr>
        <xdr:cNvPr id="4" name="Chart 3">
          <a:extLst>
            <a:ext uri="{FF2B5EF4-FFF2-40B4-BE49-F238E27FC236}">
              <a16:creationId xmlns:a16="http://schemas.microsoft.com/office/drawing/2014/main" id="{ADE4EF47-DD7A-EEAD-486C-1354E5D3F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1691640</xdr:colOff>
      <xdr:row>20</xdr:row>
      <xdr:rowOff>15240</xdr:rowOff>
    </xdr:from>
    <xdr:to>
      <xdr:col>4</xdr:col>
      <xdr:colOff>739140</xdr:colOff>
      <xdr:row>33</xdr:row>
      <xdr:rowOff>104775</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16BDC49E-8BF5-79D7-C2F3-267361F7FB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429000" y="3672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22</xdr:row>
      <xdr:rowOff>129540</xdr:rowOff>
    </xdr:from>
    <xdr:to>
      <xdr:col>4</xdr:col>
      <xdr:colOff>853440</xdr:colOff>
      <xdr:row>36</xdr:row>
      <xdr:rowOff>36195</xdr:rowOff>
    </xdr:to>
    <mc:AlternateContent xmlns:mc="http://schemas.openxmlformats.org/markup-compatibility/2006">
      <mc:Choice xmlns:a14="http://schemas.microsoft.com/office/drawing/2010/main" Requires="a14">
        <xdr:graphicFrame macro="">
          <xdr:nvGraphicFramePr>
            <xdr:cNvPr id="6" name="Vendor">
              <a:extLst>
                <a:ext uri="{FF2B5EF4-FFF2-40B4-BE49-F238E27FC236}">
                  <a16:creationId xmlns:a16="http://schemas.microsoft.com/office/drawing/2014/main" id="{A55AAB5E-8036-D6B3-2CC8-199BDC166035}"/>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3543300" y="415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594360</xdr:colOff>
      <xdr:row>25</xdr:row>
      <xdr:rowOff>60960</xdr:rowOff>
    </xdr:from>
    <xdr:to>
      <xdr:col>5</xdr:col>
      <xdr:colOff>121920</xdr:colOff>
      <xdr:row>38</xdr:row>
      <xdr:rowOff>150495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838A428-D528-79C3-15F4-813A18E971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23360" y="463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1074420</xdr:colOff>
      <xdr:row>27</xdr:row>
      <xdr:rowOff>175260</xdr:rowOff>
    </xdr:from>
    <xdr:to>
      <xdr:col>5</xdr:col>
      <xdr:colOff>601980</xdr:colOff>
      <xdr:row>41</xdr:row>
      <xdr:rowOff>81915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D09666D-6582-EBC2-C8B9-BC76FAB6BB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03420" y="5113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914400</xdr:colOff>
      <xdr:row>45</xdr:row>
      <xdr:rowOff>41910</xdr:rowOff>
    </xdr:from>
    <xdr:to>
      <xdr:col>6</xdr:col>
      <xdr:colOff>350520</xdr:colOff>
      <xdr:row>60</xdr:row>
      <xdr:rowOff>41910</xdr:rowOff>
    </xdr:to>
    <xdr:graphicFrame macro="">
      <xdr:nvGraphicFramePr>
        <xdr:cNvPr id="9" name="Chart 8">
          <a:extLst>
            <a:ext uri="{FF2B5EF4-FFF2-40B4-BE49-F238E27FC236}">
              <a16:creationId xmlns:a16="http://schemas.microsoft.com/office/drawing/2014/main" id="{3E2CE067-94ED-57E6-6CA2-966DDCBB8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xdr:colOff>
      <xdr:row>5</xdr:row>
      <xdr:rowOff>7620</xdr:rowOff>
    </xdr:from>
    <xdr:to>
      <xdr:col>16</xdr:col>
      <xdr:colOff>38100</xdr:colOff>
      <xdr:row>16</xdr:row>
      <xdr:rowOff>175260</xdr:rowOff>
    </xdr:to>
    <xdr:graphicFrame macro="">
      <xdr:nvGraphicFramePr>
        <xdr:cNvPr id="2" name="Chart 1">
          <a:extLst>
            <a:ext uri="{FF2B5EF4-FFF2-40B4-BE49-F238E27FC236}">
              <a16:creationId xmlns:a16="http://schemas.microsoft.com/office/drawing/2014/main" id="{DEA94D95-2E6B-4B9F-8DA4-F3DC9EBC0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510540</xdr:colOff>
      <xdr:row>17</xdr:row>
      <xdr:rowOff>15240</xdr:rowOff>
    </xdr:from>
    <xdr:to>
      <xdr:col>9</xdr:col>
      <xdr:colOff>541020</xdr:colOff>
      <xdr:row>26</xdr:row>
      <xdr:rowOff>167640</xdr:rowOff>
    </xdr:to>
    <xdr:graphicFrame macro="">
      <xdr:nvGraphicFramePr>
        <xdr:cNvPr id="3" name="Chart 2">
          <a:extLst>
            <a:ext uri="{FF2B5EF4-FFF2-40B4-BE49-F238E27FC236}">
              <a16:creationId xmlns:a16="http://schemas.microsoft.com/office/drawing/2014/main" id="{0278F658-45BE-47FA-83D2-01618B649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502920</xdr:colOff>
      <xdr:row>5</xdr:row>
      <xdr:rowOff>0</xdr:rowOff>
    </xdr:from>
    <xdr:to>
      <xdr:col>9</xdr:col>
      <xdr:colOff>541020</xdr:colOff>
      <xdr:row>16</xdr:row>
      <xdr:rowOff>160020</xdr:rowOff>
    </xdr:to>
    <xdr:graphicFrame macro="">
      <xdr:nvGraphicFramePr>
        <xdr:cNvPr id="5" name="Chart 4">
          <a:extLst>
            <a:ext uri="{FF2B5EF4-FFF2-40B4-BE49-F238E27FC236}">
              <a16:creationId xmlns:a16="http://schemas.microsoft.com/office/drawing/2014/main" id="{40EDE3C5-0868-495D-A9BC-2B5254B4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152400</xdr:colOff>
      <xdr:row>18</xdr:row>
      <xdr:rowOff>152401</xdr:rowOff>
    </xdr:from>
    <xdr:to>
      <xdr:col>19</xdr:col>
      <xdr:colOff>76200</xdr:colOff>
      <xdr:row>27</xdr:row>
      <xdr:rowOff>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B7CE2294-097E-41C4-B485-8BE4BE06C7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06000" y="3489961"/>
              <a:ext cx="17526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213360</xdr:colOff>
      <xdr:row>18</xdr:row>
      <xdr:rowOff>30481</xdr:rowOff>
    </xdr:from>
    <xdr:to>
      <xdr:col>22</xdr:col>
      <xdr:colOff>213360</xdr:colOff>
      <xdr:row>27</xdr:row>
      <xdr:rowOff>7620</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51C7D995-C999-4742-A2EF-9176F85F083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95760" y="3368041"/>
              <a:ext cx="1828800" cy="1623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8</xdr:row>
      <xdr:rowOff>1</xdr:rowOff>
    </xdr:from>
    <xdr:to>
      <xdr:col>22</xdr:col>
      <xdr:colOff>198120</xdr:colOff>
      <xdr:row>17</xdr:row>
      <xdr:rowOff>83821</xdr:rowOff>
    </xdr:to>
    <mc:AlternateContent xmlns:mc="http://schemas.openxmlformats.org/markup-compatibility/2006">
      <mc:Choice xmlns:a14="http://schemas.microsoft.com/office/drawing/2010/main" Requires="a14">
        <xdr:graphicFrame macro="">
          <xdr:nvGraphicFramePr>
            <xdr:cNvPr id="8" name="Vendor 1">
              <a:extLst>
                <a:ext uri="{FF2B5EF4-FFF2-40B4-BE49-F238E27FC236}">
                  <a16:creationId xmlns:a16="http://schemas.microsoft.com/office/drawing/2014/main" id="{4EACFEBA-B51B-4250-88A4-F3DF961C89C9}"/>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dr:sp macro="" textlink="">
          <xdr:nvSpPr>
            <xdr:cNvPr id="0" name=""/>
            <xdr:cNvSpPr>
              <a:spLocks noTextEdit="1"/>
            </xdr:cNvSpPr>
          </xdr:nvSpPr>
          <xdr:spPr>
            <a:xfrm>
              <a:off x="11780520" y="1508761"/>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4</xdr:row>
      <xdr:rowOff>167640</xdr:rowOff>
    </xdr:from>
    <xdr:to>
      <xdr:col>19</xdr:col>
      <xdr:colOff>60960</xdr:colOff>
      <xdr:row>18</xdr:row>
      <xdr:rowOff>74295</xdr:rowOff>
    </xdr:to>
    <mc:AlternateContent xmlns:mc="http://schemas.openxmlformats.org/markup-compatibility/2006">
      <mc:Choice xmlns:a14="http://schemas.microsoft.com/office/drawing/2010/main" Requires="a14">
        <xdr:graphicFrame macro="">
          <xdr:nvGraphicFramePr>
            <xdr:cNvPr id="9" name="Month 1">
              <a:extLst>
                <a:ext uri="{FF2B5EF4-FFF2-40B4-BE49-F238E27FC236}">
                  <a16:creationId xmlns:a16="http://schemas.microsoft.com/office/drawing/2014/main" id="{81644E8C-2D98-45DD-B612-1DF72F730B9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898380" y="944880"/>
              <a:ext cx="17449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21</xdr:row>
      <xdr:rowOff>0</xdr:rowOff>
    </xdr:from>
    <xdr:to>
      <xdr:col>2</xdr:col>
      <xdr:colOff>373380</xdr:colOff>
      <xdr:row>26</xdr:row>
      <xdr:rowOff>137160</xdr:rowOff>
    </xdr:to>
    <xdr:sp macro="" textlink="">
      <xdr:nvSpPr>
        <xdr:cNvPr id="10" name="Rectangle 9">
          <a:extLst>
            <a:ext uri="{FF2B5EF4-FFF2-40B4-BE49-F238E27FC236}">
              <a16:creationId xmlns:a16="http://schemas.microsoft.com/office/drawing/2014/main" id="{D1ADBB5E-6B6C-911D-155E-8ABAFEF74068}"/>
            </a:ext>
          </a:extLst>
        </xdr:cNvPr>
        <xdr:cNvSpPr/>
      </xdr:nvSpPr>
      <xdr:spPr>
        <a:xfrm>
          <a:off x="304800" y="3886200"/>
          <a:ext cx="1287780" cy="105156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Total Procurement Cost : </a:t>
          </a:r>
          <a:r>
            <a:rPr lang="en-IN" sz="1400" b="1" i="0" u="none" strike="noStrike">
              <a:solidFill>
                <a:schemeClr val="bg1"/>
              </a:solidFill>
              <a:effectLst/>
              <a:latin typeface="+mn-lt"/>
              <a:ea typeface="+mn-ea"/>
              <a:cs typeface="+mn-cs"/>
            </a:rPr>
            <a:t>49756067</a:t>
          </a:r>
          <a:r>
            <a:rPr lang="en-IN" sz="1400">
              <a:solidFill>
                <a:schemeClr val="bg1"/>
              </a:solidFill>
              <a:effectLst/>
            </a:rPr>
            <a:t> </a:t>
          </a:r>
          <a:endParaRPr lang="en-IN" sz="1400">
            <a:solidFill>
              <a:schemeClr val="bg1"/>
            </a:solidFill>
          </a:endParaRPr>
        </a:p>
      </xdr:txBody>
    </xdr:sp>
    <xdr:clientData/>
  </xdr:twoCellAnchor>
  <xdr:twoCellAnchor>
    <xdr:from>
      <xdr:col>0</xdr:col>
      <xdr:colOff>289560</xdr:colOff>
      <xdr:row>0</xdr:row>
      <xdr:rowOff>160020</xdr:rowOff>
    </xdr:from>
    <xdr:to>
      <xdr:col>2</xdr:col>
      <xdr:colOff>396240</xdr:colOff>
      <xdr:row>5</xdr:row>
      <xdr:rowOff>45720</xdr:rowOff>
    </xdr:to>
    <xdr:sp macro="" textlink="">
      <xdr:nvSpPr>
        <xdr:cNvPr id="11" name="Rectangle 10">
          <a:extLst>
            <a:ext uri="{FF2B5EF4-FFF2-40B4-BE49-F238E27FC236}">
              <a16:creationId xmlns:a16="http://schemas.microsoft.com/office/drawing/2014/main" id="{D27C7CFB-FE2B-4851-88C6-C1EA144E5804}"/>
            </a:ext>
          </a:extLst>
        </xdr:cNvPr>
        <xdr:cNvSpPr/>
      </xdr:nvSpPr>
      <xdr:spPr>
        <a:xfrm>
          <a:off x="289560" y="160020"/>
          <a:ext cx="1325880" cy="80010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TOTAL</a:t>
          </a:r>
          <a:r>
            <a:rPr lang="en-IN" sz="1400" baseline="0">
              <a:solidFill>
                <a:schemeClr val="bg1"/>
              </a:solidFill>
            </a:rPr>
            <a:t> ORDER PLACED :</a:t>
          </a:r>
        </a:p>
        <a:p>
          <a:pPr algn="l"/>
          <a:r>
            <a:rPr lang="en-IN" sz="1100" b="1" i="0" u="none" strike="noStrike">
              <a:solidFill>
                <a:schemeClr val="bg1"/>
              </a:solidFill>
              <a:effectLst/>
              <a:latin typeface="+mn-lt"/>
              <a:ea typeface="+mn-ea"/>
              <a:cs typeface="+mn-cs"/>
            </a:rPr>
            <a:t>42473</a:t>
          </a:r>
          <a:r>
            <a:rPr lang="en-IN" sz="1400">
              <a:solidFill>
                <a:schemeClr val="bg1"/>
              </a:solidFill>
              <a:effectLst/>
            </a:rPr>
            <a:t> </a:t>
          </a:r>
          <a:endParaRPr lang="en-IN" sz="1400">
            <a:solidFill>
              <a:schemeClr val="bg1"/>
            </a:solidFill>
          </a:endParaRPr>
        </a:p>
      </xdr:txBody>
    </xdr:sp>
    <xdr:clientData/>
  </xdr:twoCellAnchor>
  <xdr:twoCellAnchor>
    <xdr:from>
      <xdr:col>0</xdr:col>
      <xdr:colOff>289560</xdr:colOff>
      <xdr:row>6</xdr:row>
      <xdr:rowOff>45720</xdr:rowOff>
    </xdr:from>
    <xdr:to>
      <xdr:col>2</xdr:col>
      <xdr:colOff>396240</xdr:colOff>
      <xdr:row>10</xdr:row>
      <xdr:rowOff>160020</xdr:rowOff>
    </xdr:to>
    <xdr:sp macro="" textlink="">
      <xdr:nvSpPr>
        <xdr:cNvPr id="12" name="Rectangle 11">
          <a:extLst>
            <a:ext uri="{FF2B5EF4-FFF2-40B4-BE49-F238E27FC236}">
              <a16:creationId xmlns:a16="http://schemas.microsoft.com/office/drawing/2014/main" id="{89D9158E-4591-4271-A85A-8735E7CCD5EE}"/>
            </a:ext>
          </a:extLst>
        </xdr:cNvPr>
        <xdr:cNvSpPr/>
      </xdr:nvSpPr>
      <xdr:spPr>
        <a:xfrm>
          <a:off x="289560" y="1143000"/>
          <a:ext cx="1325880" cy="84582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Total On-Time Delivered :</a:t>
          </a:r>
        </a:p>
        <a:p>
          <a:pPr algn="l"/>
          <a:r>
            <a:rPr lang="en-IN" sz="1100" b="1" i="0" u="none" strike="noStrike">
              <a:solidFill>
                <a:schemeClr val="bg1"/>
              </a:solidFill>
              <a:effectLst/>
              <a:latin typeface="+mn-lt"/>
              <a:ea typeface="+mn-ea"/>
              <a:cs typeface="+mn-cs"/>
            </a:rPr>
            <a:t>34959</a:t>
          </a:r>
          <a:r>
            <a:rPr lang="en-IN" sz="1400">
              <a:solidFill>
                <a:schemeClr val="bg1"/>
              </a:solidFill>
              <a:effectLst/>
            </a:rPr>
            <a:t> </a:t>
          </a:r>
          <a:endParaRPr lang="en-IN" sz="1400">
            <a:solidFill>
              <a:schemeClr val="bg1"/>
            </a:solidFill>
          </a:endParaRPr>
        </a:p>
      </xdr:txBody>
    </xdr:sp>
    <xdr:clientData/>
  </xdr:twoCellAnchor>
  <xdr:twoCellAnchor>
    <xdr:from>
      <xdr:col>0</xdr:col>
      <xdr:colOff>297180</xdr:colOff>
      <xdr:row>11</xdr:row>
      <xdr:rowOff>175260</xdr:rowOff>
    </xdr:from>
    <xdr:to>
      <xdr:col>2</xdr:col>
      <xdr:colOff>411480</xdr:colOff>
      <xdr:row>15</xdr:row>
      <xdr:rowOff>137160</xdr:rowOff>
    </xdr:to>
    <xdr:sp macro="" textlink="">
      <xdr:nvSpPr>
        <xdr:cNvPr id="13" name="Rectangle 12">
          <a:extLst>
            <a:ext uri="{FF2B5EF4-FFF2-40B4-BE49-F238E27FC236}">
              <a16:creationId xmlns:a16="http://schemas.microsoft.com/office/drawing/2014/main" id="{6005DEF9-EB36-4311-8392-9317A32998A5}"/>
            </a:ext>
          </a:extLst>
        </xdr:cNvPr>
        <xdr:cNvSpPr/>
      </xdr:nvSpPr>
      <xdr:spPr>
        <a:xfrm>
          <a:off x="297180" y="2186940"/>
          <a:ext cx="1333500" cy="69342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OTIF RATE %</a:t>
          </a:r>
          <a:r>
            <a:rPr lang="en-IN" sz="1100" b="1" i="0" u="none" strike="noStrike" baseline="0">
              <a:solidFill>
                <a:schemeClr val="bg1"/>
              </a:solidFill>
              <a:effectLst/>
              <a:latin typeface="+mn-lt"/>
              <a:ea typeface="+mn-ea"/>
              <a:cs typeface="+mn-cs"/>
            </a:rPr>
            <a:t> :</a:t>
          </a:r>
          <a:endParaRPr lang="en-IN" sz="1400" b="1" i="0" u="none" strike="noStrike" baseline="0">
            <a:solidFill>
              <a:schemeClr val="bg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82.7%</a:t>
          </a:r>
          <a:endParaRPr lang="en-IN" sz="1400">
            <a:solidFill>
              <a:schemeClr val="bg1"/>
            </a:solidFill>
          </a:endParaRPr>
        </a:p>
      </xdr:txBody>
    </xdr:sp>
    <xdr:clientData/>
  </xdr:twoCellAnchor>
  <xdr:twoCellAnchor>
    <xdr:from>
      <xdr:col>19</xdr:col>
      <xdr:colOff>121920</xdr:colOff>
      <xdr:row>0</xdr:row>
      <xdr:rowOff>175260</xdr:rowOff>
    </xdr:from>
    <xdr:to>
      <xdr:col>21</xdr:col>
      <xdr:colOff>68580</xdr:colOff>
      <xdr:row>7</xdr:row>
      <xdr:rowOff>144780</xdr:rowOff>
    </xdr:to>
    <xdr:sp macro="" textlink="">
      <xdr:nvSpPr>
        <xdr:cNvPr id="14" name="Rectangle 13">
          <a:extLst>
            <a:ext uri="{FF2B5EF4-FFF2-40B4-BE49-F238E27FC236}">
              <a16:creationId xmlns:a16="http://schemas.microsoft.com/office/drawing/2014/main" id="{65EAC612-12B0-4097-BFC5-DCD6CB5FADA5}"/>
            </a:ext>
          </a:extLst>
        </xdr:cNvPr>
        <xdr:cNvSpPr/>
      </xdr:nvSpPr>
      <xdr:spPr>
        <a:xfrm>
          <a:off x="11704320" y="175260"/>
          <a:ext cx="1165860" cy="129540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Budget Variance % :</a:t>
          </a:r>
          <a:r>
            <a:rPr lang="en-IN" sz="1400" b="0" i="0" u="none" strike="noStrike" baseline="0">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-4.61%</a:t>
          </a:r>
          <a:endParaRPr lang="en-IN" sz="1400"/>
        </a:p>
      </xdr:txBody>
    </xdr:sp>
    <xdr:clientData/>
  </xdr:twoCellAnchor>
  <xdr:twoCellAnchor>
    <xdr:from>
      <xdr:col>21</xdr:col>
      <xdr:colOff>144780</xdr:colOff>
      <xdr:row>0</xdr:row>
      <xdr:rowOff>160020</xdr:rowOff>
    </xdr:from>
    <xdr:to>
      <xdr:col>23</xdr:col>
      <xdr:colOff>22860</xdr:colOff>
      <xdr:row>7</xdr:row>
      <xdr:rowOff>129540</xdr:rowOff>
    </xdr:to>
    <xdr:sp macro="" textlink="">
      <xdr:nvSpPr>
        <xdr:cNvPr id="15" name="Rectangle 14">
          <a:extLst>
            <a:ext uri="{FF2B5EF4-FFF2-40B4-BE49-F238E27FC236}">
              <a16:creationId xmlns:a16="http://schemas.microsoft.com/office/drawing/2014/main" id="{FF94E1AB-C1CB-43E5-9821-F095274BB535}"/>
            </a:ext>
          </a:extLst>
        </xdr:cNvPr>
        <xdr:cNvSpPr/>
      </xdr:nvSpPr>
      <xdr:spPr>
        <a:xfrm>
          <a:off x="12946380" y="160020"/>
          <a:ext cx="1097280" cy="129540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Defect Rate%</a:t>
          </a:r>
          <a:r>
            <a:rPr lang="en-IN" sz="1400" baseline="0"/>
            <a:t> : </a:t>
          </a:r>
          <a:r>
            <a:rPr lang="en-IN" sz="1400" b="0" i="0" u="none" strike="noStrike">
              <a:solidFill>
                <a:schemeClr val="lt1"/>
              </a:solidFill>
              <a:effectLst/>
              <a:latin typeface="+mn-lt"/>
              <a:ea typeface="+mn-ea"/>
              <a:cs typeface="+mn-cs"/>
            </a:rPr>
            <a:t>3.86%</a:t>
          </a:r>
          <a:endParaRPr lang="en-IN" sz="1400"/>
        </a:p>
      </xdr:txBody>
    </xdr:sp>
    <xdr:clientData/>
  </xdr:twoCellAnchor>
  <xdr:twoCellAnchor>
    <xdr:from>
      <xdr:col>0</xdr:col>
      <xdr:colOff>297180</xdr:colOff>
      <xdr:row>16</xdr:row>
      <xdr:rowOff>144780</xdr:rowOff>
    </xdr:from>
    <xdr:to>
      <xdr:col>2</xdr:col>
      <xdr:colOff>388620</xdr:colOff>
      <xdr:row>20</xdr:row>
      <xdr:rowOff>76200</xdr:rowOff>
    </xdr:to>
    <xdr:sp macro="" textlink="">
      <xdr:nvSpPr>
        <xdr:cNvPr id="16" name="Rectangle 15">
          <a:extLst>
            <a:ext uri="{FF2B5EF4-FFF2-40B4-BE49-F238E27FC236}">
              <a16:creationId xmlns:a16="http://schemas.microsoft.com/office/drawing/2014/main" id="{4DE8687F-4E18-3CB0-B412-CC9F505363CF}"/>
            </a:ext>
          </a:extLst>
        </xdr:cNvPr>
        <xdr:cNvSpPr/>
      </xdr:nvSpPr>
      <xdr:spPr>
        <a:xfrm>
          <a:off x="297180" y="3116580"/>
          <a:ext cx="1310640" cy="662940"/>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Total Budget :</a:t>
          </a:r>
          <a:r>
            <a:rPr lang="en-IN" sz="1400" b="1" i="0" u="none" strike="noStrike">
              <a:solidFill>
                <a:schemeClr val="bg1"/>
              </a:solidFill>
              <a:effectLst/>
              <a:latin typeface="+mn-lt"/>
              <a:ea typeface="+mn-ea"/>
              <a:cs typeface="+mn-cs"/>
            </a:rPr>
            <a:t>52159351</a:t>
          </a:r>
          <a:r>
            <a:rPr lang="en-IN" sz="1400">
              <a:solidFill>
                <a:schemeClr val="bg1"/>
              </a:solidFill>
              <a:effectLst/>
            </a:rPr>
            <a:t> </a:t>
          </a:r>
          <a:endParaRPr lang="en-IN" sz="1400">
            <a:solidFill>
              <a:schemeClr val="bg1"/>
            </a:solidFill>
          </a:endParaRPr>
        </a:p>
      </xdr:txBody>
    </xdr:sp>
    <xdr:clientData/>
  </xdr:twoCellAnchor>
  <xdr:twoCellAnchor>
    <xdr:from>
      <xdr:col>10</xdr:col>
      <xdr:colOff>7620</xdr:colOff>
      <xdr:row>17</xdr:row>
      <xdr:rowOff>38100</xdr:rowOff>
    </xdr:from>
    <xdr:to>
      <xdr:col>16</xdr:col>
      <xdr:colOff>38100</xdr:colOff>
      <xdr:row>26</xdr:row>
      <xdr:rowOff>175260</xdr:rowOff>
    </xdr:to>
    <xdr:graphicFrame macro="">
      <xdr:nvGraphicFramePr>
        <xdr:cNvPr id="17" name="Chart 16">
          <a:extLst>
            <a:ext uri="{FF2B5EF4-FFF2-40B4-BE49-F238E27FC236}">
              <a16:creationId xmlns:a16="http://schemas.microsoft.com/office/drawing/2014/main" id="{BEBF5B7B-F510-43F1-9401-623A7ECA5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a Siriki" refreshedDate="46155.55615138889" createdVersion="8" refreshedVersion="8" minRefreshableVersion="3" recordCount="300" xr:uid="{D1E27CC4-5554-4178-9FC7-4F925F6EA5A6}">
  <cacheSource type="worksheet">
    <worksheetSource name="kip"/>
  </cacheSource>
  <cacheFields count="16">
    <cacheField name="Order_ID" numFmtId="0">
      <sharedItems/>
    </cacheField>
    <cacheField name="Month" numFmtId="0">
      <sharedItems count="12">
        <s v="Jan"/>
        <s v="Feb"/>
        <s v="Mar"/>
        <s v="Apr"/>
        <s v="May"/>
        <s v="Jun"/>
        <s v="Jul"/>
        <s v="Aug"/>
        <s v="Sep"/>
        <s v="Oct"/>
        <s v="Nov"/>
        <s v="Dec"/>
      </sharedItems>
    </cacheField>
    <cacheField name="Vendor" numFmtId="0">
      <sharedItems count="5">
        <s v="Reliance Logistics"/>
        <s v="BlueDart"/>
        <s v="Delhivery"/>
        <s v="Ecom Express"/>
        <s v="XpressBees"/>
      </sharedItems>
    </cacheField>
    <cacheField name="Category" numFmtId="0">
      <sharedItems count="5">
        <s v="Electronics"/>
        <s v="FMCG"/>
        <s v="Apparel"/>
        <s v="Pharma"/>
        <s v="Automotive"/>
      </sharedItems>
    </cacheField>
    <cacheField name="Region" numFmtId="0">
      <sharedItems count="4">
        <s v="North"/>
        <s v="South"/>
        <s v="East"/>
        <s v="West"/>
      </sharedItems>
    </cacheField>
    <cacheField name="Orders_Placed" numFmtId="0">
      <sharedItems containsSemiMixedTypes="0" containsString="0" containsNumber="1" containsInteger="1" minValue="80" maxValue="200"/>
    </cacheField>
    <cacheField name="Orders_Delivered_OnTime" numFmtId="0">
      <sharedItems containsSemiMixedTypes="0" containsString="0" containsNumber="1" containsInteger="1" minValue="60" maxValue="183"/>
    </cacheField>
    <cacheField name="Orders_Delayed" numFmtId="0">
      <sharedItems containsSemiMixedTypes="0" containsString="0" containsNumber="1" containsInteger="1" minValue="5" maxValue="59"/>
    </cacheField>
    <cacheField name="Inventory_Level" numFmtId="0">
      <sharedItems containsSemiMixedTypes="0" containsString="0" containsNumber="1" containsInteger="1" minValue="206" maxValue="798"/>
    </cacheField>
    <cacheField name="Reorder_Point" numFmtId="0">
      <sharedItems containsSemiMixedTypes="0" containsString="0" containsNumber="1" containsInteger="1" minValue="100" maxValue="298"/>
    </cacheField>
    <cacheField name="Stockout_Days" numFmtId="0">
      <sharedItems containsSemiMixedTypes="0" containsString="0" containsNumber="1" containsInteger="1" minValue="0" maxValue="5"/>
    </cacheField>
    <cacheField name="Procurement_Cost_INR" numFmtId="0">
      <sharedItems containsSemiMixedTypes="0" containsString="0" containsNumber="1" containsInteger="1" minValue="80701" maxValue="249392"/>
    </cacheField>
    <cacheField name="Budget_INR" numFmtId="0">
      <sharedItems containsSemiMixedTypes="0" containsString="0" containsNumber="1" containsInteger="1" minValue="77880" maxValue="294710"/>
    </cacheField>
    <cacheField name="Defect_Units" numFmtId="0">
      <sharedItems containsSemiMixedTypes="0" containsString="0" containsNumber="1" containsInteger="1" minValue="0" maxValue="15"/>
    </cacheField>
    <cacheField name="Total_Units" numFmtId="0">
      <sharedItems containsSemiMixedTypes="0" containsString="0" containsNumber="1" containsInteger="1" minValue="80" maxValue="200"/>
    </cacheField>
    <cacheField name="OTIF%" numFmtId="0">
      <sharedItems containsSemiMixedTypes="0" containsString="0" containsNumber="1" minValue="69.565217391304344" maxValue="94.475138121546962"/>
    </cacheField>
  </cacheFields>
  <extLst>
    <ext xmlns:x14="http://schemas.microsoft.com/office/spreadsheetml/2009/9/main" uri="{725AE2AE-9491-48be-B2B4-4EB974FC3084}">
      <x14:pivotCacheDefinition pivotCacheId="259396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1"/>
    <x v="0"/>
    <x v="0"/>
    <x v="0"/>
    <x v="0"/>
    <n v="83"/>
    <n v="73"/>
    <n v="10"/>
    <n v="450"/>
    <n v="157"/>
    <n v="1"/>
    <n v="106868"/>
    <n v="117876"/>
    <n v="4"/>
    <n v="83"/>
    <n v="87.951807228915655"/>
  </r>
  <r>
    <s v="ORD1002"/>
    <x v="0"/>
    <x v="0"/>
    <x v="1"/>
    <x v="0"/>
    <n v="155"/>
    <n v="124"/>
    <n v="31"/>
    <n v="230"/>
    <n v="123"/>
    <n v="1"/>
    <n v="140990"/>
    <n v="148266"/>
    <n v="0"/>
    <n v="155"/>
    <n v="80"/>
  </r>
  <r>
    <s v="ORD1003"/>
    <x v="0"/>
    <x v="0"/>
    <x v="2"/>
    <x v="1"/>
    <n v="171"/>
    <n v="147"/>
    <n v="24"/>
    <n v="758"/>
    <n v="207"/>
    <n v="1"/>
    <n v="197757"/>
    <n v="212940"/>
    <n v="12"/>
    <n v="171"/>
    <n v="85.964912280701753"/>
  </r>
  <r>
    <s v="ORD1004"/>
    <x v="0"/>
    <x v="0"/>
    <x v="3"/>
    <x v="0"/>
    <n v="177"/>
    <n v="159"/>
    <n v="18"/>
    <n v="632"/>
    <n v="187"/>
    <n v="2"/>
    <n v="120758"/>
    <n v="116482"/>
    <n v="12"/>
    <n v="177"/>
    <n v="89.830508474576277"/>
  </r>
  <r>
    <s v="ORD1005"/>
    <x v="0"/>
    <x v="0"/>
    <x v="4"/>
    <x v="2"/>
    <n v="93"/>
    <n v="67"/>
    <n v="26"/>
    <n v="299"/>
    <n v="191"/>
    <n v="2"/>
    <n v="238263"/>
    <n v="233344"/>
    <n v="0"/>
    <n v="93"/>
    <n v="72.043010752688176"/>
  </r>
  <r>
    <s v="ORD1006"/>
    <x v="0"/>
    <x v="1"/>
    <x v="0"/>
    <x v="3"/>
    <n v="148"/>
    <n v="108"/>
    <n v="40"/>
    <n v="587"/>
    <n v="120"/>
    <n v="4"/>
    <n v="156854"/>
    <n v="180197"/>
    <n v="9"/>
    <n v="148"/>
    <n v="72.972972972972968"/>
  </r>
  <r>
    <s v="ORD1007"/>
    <x v="0"/>
    <x v="1"/>
    <x v="1"/>
    <x v="2"/>
    <n v="153"/>
    <n v="114"/>
    <n v="39"/>
    <n v="271"/>
    <n v="111"/>
    <n v="5"/>
    <n v="139742"/>
    <n v="158176"/>
    <n v="1"/>
    <n v="153"/>
    <n v="74.509803921568633"/>
  </r>
  <r>
    <s v="ORD1008"/>
    <x v="0"/>
    <x v="1"/>
    <x v="2"/>
    <x v="1"/>
    <n v="190"/>
    <n v="137"/>
    <n v="53"/>
    <n v="484"/>
    <n v="216"/>
    <n v="5"/>
    <n v="175638"/>
    <n v="166644"/>
    <n v="11"/>
    <n v="190"/>
    <n v="72.10526315789474"/>
  </r>
  <r>
    <s v="ORD1009"/>
    <x v="0"/>
    <x v="1"/>
    <x v="3"/>
    <x v="1"/>
    <n v="165"/>
    <n v="126"/>
    <n v="39"/>
    <n v="273"/>
    <n v="255"/>
    <n v="5"/>
    <n v="124862"/>
    <n v="132383"/>
    <n v="3"/>
    <n v="165"/>
    <n v="76.363636363636374"/>
  </r>
  <r>
    <s v="ORD1010"/>
    <x v="0"/>
    <x v="1"/>
    <x v="4"/>
    <x v="1"/>
    <n v="139"/>
    <n v="110"/>
    <n v="29"/>
    <n v="770"/>
    <n v="156"/>
    <n v="5"/>
    <n v="165008"/>
    <n v="190230"/>
    <n v="0"/>
    <n v="139"/>
    <n v="79.136690647482013"/>
  </r>
  <r>
    <s v="ORD1011"/>
    <x v="0"/>
    <x v="2"/>
    <x v="0"/>
    <x v="1"/>
    <n v="185"/>
    <n v="130"/>
    <n v="55"/>
    <n v="523"/>
    <n v="202"/>
    <n v="2"/>
    <n v="97350"/>
    <n v="93776"/>
    <n v="9"/>
    <n v="185"/>
    <n v="70.270270270270274"/>
  </r>
  <r>
    <s v="ORD1012"/>
    <x v="0"/>
    <x v="2"/>
    <x v="1"/>
    <x v="2"/>
    <n v="107"/>
    <n v="92"/>
    <n v="15"/>
    <n v="605"/>
    <n v="264"/>
    <n v="3"/>
    <n v="117452"/>
    <n v="115040"/>
    <n v="3"/>
    <n v="107"/>
    <n v="85.981308411214954"/>
  </r>
  <r>
    <s v="ORD1013"/>
    <x v="0"/>
    <x v="2"/>
    <x v="2"/>
    <x v="2"/>
    <n v="175"/>
    <n v="148"/>
    <n v="27"/>
    <n v="797"/>
    <n v="202"/>
    <n v="2"/>
    <n v="137493"/>
    <n v="164881"/>
    <n v="2"/>
    <n v="175"/>
    <n v="84.571428571428569"/>
  </r>
  <r>
    <s v="ORD1014"/>
    <x v="0"/>
    <x v="2"/>
    <x v="3"/>
    <x v="3"/>
    <n v="91"/>
    <n v="80"/>
    <n v="11"/>
    <n v="312"/>
    <n v="139"/>
    <n v="5"/>
    <n v="121938"/>
    <n v="138719"/>
    <n v="6"/>
    <n v="91"/>
    <n v="87.912087912087912"/>
  </r>
  <r>
    <s v="ORD1015"/>
    <x v="0"/>
    <x v="2"/>
    <x v="4"/>
    <x v="0"/>
    <n v="129"/>
    <n v="102"/>
    <n v="27"/>
    <n v="679"/>
    <n v="235"/>
    <n v="2"/>
    <n v="225024"/>
    <n v="260630"/>
    <n v="0"/>
    <n v="129"/>
    <n v="79.069767441860463"/>
  </r>
  <r>
    <s v="ORD1016"/>
    <x v="0"/>
    <x v="3"/>
    <x v="0"/>
    <x v="0"/>
    <n v="167"/>
    <n v="153"/>
    <n v="14"/>
    <n v="473"/>
    <n v="296"/>
    <n v="5"/>
    <n v="169174"/>
    <n v="157918"/>
    <n v="6"/>
    <n v="167"/>
    <n v="91.616766467065872"/>
  </r>
  <r>
    <s v="ORD1017"/>
    <x v="0"/>
    <x v="3"/>
    <x v="1"/>
    <x v="1"/>
    <n v="138"/>
    <n v="96"/>
    <n v="42"/>
    <n v="469"/>
    <n v="228"/>
    <n v="1"/>
    <n v="213085"/>
    <n v="250116"/>
    <n v="10"/>
    <n v="138"/>
    <n v="69.565217391304344"/>
  </r>
  <r>
    <s v="ORD1018"/>
    <x v="0"/>
    <x v="3"/>
    <x v="2"/>
    <x v="2"/>
    <n v="187"/>
    <n v="160"/>
    <n v="27"/>
    <n v="403"/>
    <n v="139"/>
    <n v="2"/>
    <n v="122349"/>
    <n v="129911"/>
    <n v="12"/>
    <n v="187"/>
    <n v="85.561497326203209"/>
  </r>
  <r>
    <s v="ORD1019"/>
    <x v="0"/>
    <x v="3"/>
    <x v="3"/>
    <x v="0"/>
    <n v="156"/>
    <n v="121"/>
    <n v="35"/>
    <n v="219"/>
    <n v="128"/>
    <n v="2"/>
    <n v="160612"/>
    <n v="156088"/>
    <n v="3"/>
    <n v="156"/>
    <n v="77.564102564102569"/>
  </r>
  <r>
    <s v="ORD1020"/>
    <x v="0"/>
    <x v="3"/>
    <x v="4"/>
    <x v="0"/>
    <n v="90"/>
    <n v="79"/>
    <n v="11"/>
    <n v="270"/>
    <n v="294"/>
    <n v="4"/>
    <n v="112967"/>
    <n v="106021"/>
    <n v="7"/>
    <n v="90"/>
    <n v="87.777777777777771"/>
  </r>
  <r>
    <s v="ORD1021"/>
    <x v="0"/>
    <x v="4"/>
    <x v="0"/>
    <x v="1"/>
    <n v="113"/>
    <n v="94"/>
    <n v="19"/>
    <n v="633"/>
    <n v="154"/>
    <n v="4"/>
    <n v="132730"/>
    <n v="147845"/>
    <n v="6"/>
    <n v="113"/>
    <n v="83.185840707964601"/>
  </r>
  <r>
    <s v="ORD1022"/>
    <x v="0"/>
    <x v="4"/>
    <x v="1"/>
    <x v="2"/>
    <n v="136"/>
    <n v="125"/>
    <n v="11"/>
    <n v="662"/>
    <n v="130"/>
    <n v="1"/>
    <n v="138903"/>
    <n v="127680"/>
    <n v="0"/>
    <n v="136"/>
    <n v="91.911764705882348"/>
  </r>
  <r>
    <s v="ORD1023"/>
    <x v="0"/>
    <x v="4"/>
    <x v="2"/>
    <x v="1"/>
    <n v="155"/>
    <n v="117"/>
    <n v="38"/>
    <n v="272"/>
    <n v="281"/>
    <n v="5"/>
    <n v="95433"/>
    <n v="92444"/>
    <n v="0"/>
    <n v="155"/>
    <n v="75.483870967741936"/>
  </r>
  <r>
    <s v="ORD1024"/>
    <x v="0"/>
    <x v="4"/>
    <x v="3"/>
    <x v="2"/>
    <n v="89"/>
    <n v="73"/>
    <n v="16"/>
    <n v="485"/>
    <n v="271"/>
    <n v="3"/>
    <n v="136160"/>
    <n v="144570"/>
    <n v="7"/>
    <n v="89"/>
    <n v="82.022471910112358"/>
  </r>
  <r>
    <s v="ORD1025"/>
    <x v="0"/>
    <x v="4"/>
    <x v="4"/>
    <x v="1"/>
    <n v="180"/>
    <n v="147"/>
    <n v="33"/>
    <n v="616"/>
    <n v="148"/>
    <n v="0"/>
    <n v="105409"/>
    <n v="115706"/>
    <n v="5"/>
    <n v="180"/>
    <n v="81.666666666666671"/>
  </r>
  <r>
    <s v="ORD1026"/>
    <x v="1"/>
    <x v="0"/>
    <x v="0"/>
    <x v="3"/>
    <n v="132"/>
    <n v="107"/>
    <n v="25"/>
    <n v="255"/>
    <n v="272"/>
    <n v="5"/>
    <n v="249392"/>
    <n v="231816"/>
    <n v="6"/>
    <n v="132"/>
    <n v="81.060606060606062"/>
  </r>
  <r>
    <s v="ORD1027"/>
    <x v="1"/>
    <x v="0"/>
    <x v="1"/>
    <x v="2"/>
    <n v="182"/>
    <n v="166"/>
    <n v="16"/>
    <n v="454"/>
    <n v="149"/>
    <n v="1"/>
    <n v="220584"/>
    <n v="228212"/>
    <n v="6"/>
    <n v="182"/>
    <n v="91.208791208791212"/>
  </r>
  <r>
    <s v="ORD1028"/>
    <x v="1"/>
    <x v="0"/>
    <x v="2"/>
    <x v="1"/>
    <n v="115"/>
    <n v="93"/>
    <n v="22"/>
    <n v="277"/>
    <n v="213"/>
    <n v="4"/>
    <n v="105666"/>
    <n v="96703"/>
    <n v="8"/>
    <n v="115"/>
    <n v="80.869565217391298"/>
  </r>
  <r>
    <s v="ORD1029"/>
    <x v="1"/>
    <x v="0"/>
    <x v="3"/>
    <x v="0"/>
    <n v="91"/>
    <n v="84"/>
    <n v="7"/>
    <n v="442"/>
    <n v="142"/>
    <n v="3"/>
    <n v="207307"/>
    <n v="216512"/>
    <n v="6"/>
    <n v="91"/>
    <n v="92.307692307692307"/>
  </r>
  <r>
    <s v="ORD1030"/>
    <x v="1"/>
    <x v="0"/>
    <x v="4"/>
    <x v="0"/>
    <n v="101"/>
    <n v="80"/>
    <n v="21"/>
    <n v="599"/>
    <n v="167"/>
    <n v="3"/>
    <n v="154776"/>
    <n v="158939"/>
    <n v="8"/>
    <n v="101"/>
    <n v="79.207920792079207"/>
  </r>
  <r>
    <s v="ORD1031"/>
    <x v="1"/>
    <x v="1"/>
    <x v="0"/>
    <x v="3"/>
    <n v="99"/>
    <n v="73"/>
    <n v="26"/>
    <n v="422"/>
    <n v="114"/>
    <n v="4"/>
    <n v="222133"/>
    <n v="203981"/>
    <n v="5"/>
    <n v="99"/>
    <n v="73.73737373737373"/>
  </r>
  <r>
    <s v="ORD1032"/>
    <x v="1"/>
    <x v="1"/>
    <x v="1"/>
    <x v="0"/>
    <n v="86"/>
    <n v="72"/>
    <n v="14"/>
    <n v="714"/>
    <n v="235"/>
    <n v="1"/>
    <n v="94910"/>
    <n v="112775"/>
    <n v="0"/>
    <n v="86"/>
    <n v="83.720930232558146"/>
  </r>
  <r>
    <s v="ORD1033"/>
    <x v="1"/>
    <x v="1"/>
    <x v="2"/>
    <x v="1"/>
    <n v="88"/>
    <n v="74"/>
    <n v="14"/>
    <n v="440"/>
    <n v="203"/>
    <n v="0"/>
    <n v="229336"/>
    <n v="223342"/>
    <n v="0"/>
    <n v="88"/>
    <n v="84.090909090909093"/>
  </r>
  <r>
    <s v="ORD1034"/>
    <x v="1"/>
    <x v="1"/>
    <x v="3"/>
    <x v="0"/>
    <n v="133"/>
    <n v="114"/>
    <n v="19"/>
    <n v="778"/>
    <n v="233"/>
    <n v="2"/>
    <n v="148358"/>
    <n v="142613"/>
    <n v="5"/>
    <n v="133"/>
    <n v="85.714285714285708"/>
  </r>
  <r>
    <s v="ORD1035"/>
    <x v="1"/>
    <x v="1"/>
    <x v="4"/>
    <x v="1"/>
    <n v="113"/>
    <n v="90"/>
    <n v="23"/>
    <n v="507"/>
    <n v="217"/>
    <n v="2"/>
    <n v="99016"/>
    <n v="89391"/>
    <n v="9"/>
    <n v="113"/>
    <n v="79.646017699115049"/>
  </r>
  <r>
    <s v="ORD1036"/>
    <x v="1"/>
    <x v="2"/>
    <x v="0"/>
    <x v="0"/>
    <n v="89"/>
    <n v="74"/>
    <n v="15"/>
    <n v="718"/>
    <n v="167"/>
    <n v="1"/>
    <n v="171490"/>
    <n v="199658"/>
    <n v="3"/>
    <n v="89"/>
    <n v="83.146067415730343"/>
  </r>
  <r>
    <s v="ORD1037"/>
    <x v="1"/>
    <x v="2"/>
    <x v="1"/>
    <x v="2"/>
    <n v="116"/>
    <n v="85"/>
    <n v="31"/>
    <n v="756"/>
    <n v="280"/>
    <n v="2"/>
    <n v="240347"/>
    <n v="287252"/>
    <n v="8"/>
    <n v="116"/>
    <n v="73.275862068965509"/>
  </r>
  <r>
    <s v="ORD1038"/>
    <x v="1"/>
    <x v="2"/>
    <x v="2"/>
    <x v="0"/>
    <n v="165"/>
    <n v="149"/>
    <n v="16"/>
    <n v="506"/>
    <n v="269"/>
    <n v="0"/>
    <n v="115203"/>
    <n v="112822"/>
    <n v="1"/>
    <n v="165"/>
    <n v="90.303030303030312"/>
  </r>
  <r>
    <s v="ORD1039"/>
    <x v="1"/>
    <x v="2"/>
    <x v="3"/>
    <x v="1"/>
    <n v="114"/>
    <n v="87"/>
    <n v="27"/>
    <n v="415"/>
    <n v="283"/>
    <n v="2"/>
    <n v="133371"/>
    <n v="147541"/>
    <n v="4"/>
    <n v="114"/>
    <n v="76.31578947368422"/>
  </r>
  <r>
    <s v="ORD1040"/>
    <x v="1"/>
    <x v="2"/>
    <x v="4"/>
    <x v="3"/>
    <n v="112"/>
    <n v="103"/>
    <n v="9"/>
    <n v="252"/>
    <n v="123"/>
    <n v="5"/>
    <n v="191037"/>
    <n v="219464"/>
    <n v="0"/>
    <n v="112"/>
    <n v="91.964285714285708"/>
  </r>
  <r>
    <s v="ORD1041"/>
    <x v="1"/>
    <x v="3"/>
    <x v="0"/>
    <x v="0"/>
    <n v="122"/>
    <n v="108"/>
    <n v="14"/>
    <n v="468"/>
    <n v="141"/>
    <n v="5"/>
    <n v="195824"/>
    <n v="208651"/>
    <n v="6"/>
    <n v="122"/>
    <n v="88.52459016393442"/>
  </r>
  <r>
    <s v="ORD1042"/>
    <x v="1"/>
    <x v="3"/>
    <x v="1"/>
    <x v="0"/>
    <n v="94"/>
    <n v="67"/>
    <n v="27"/>
    <n v="352"/>
    <n v="239"/>
    <n v="0"/>
    <n v="176787"/>
    <n v="190002"/>
    <n v="2"/>
    <n v="94"/>
    <n v="71.276595744680847"/>
  </r>
  <r>
    <s v="ORD1043"/>
    <x v="1"/>
    <x v="3"/>
    <x v="2"/>
    <x v="3"/>
    <n v="96"/>
    <n v="68"/>
    <n v="28"/>
    <n v="573"/>
    <n v="110"/>
    <n v="2"/>
    <n v="135070"/>
    <n v="149201"/>
    <n v="1"/>
    <n v="96"/>
    <n v="70.833333333333343"/>
  </r>
  <r>
    <s v="ORD1044"/>
    <x v="1"/>
    <x v="3"/>
    <x v="3"/>
    <x v="2"/>
    <n v="179"/>
    <n v="150"/>
    <n v="29"/>
    <n v="616"/>
    <n v="258"/>
    <n v="5"/>
    <n v="120515"/>
    <n v="141934"/>
    <n v="3"/>
    <n v="179"/>
    <n v="83.798882681564251"/>
  </r>
  <r>
    <s v="ORD1045"/>
    <x v="1"/>
    <x v="3"/>
    <x v="4"/>
    <x v="1"/>
    <n v="182"/>
    <n v="164"/>
    <n v="18"/>
    <n v="622"/>
    <n v="106"/>
    <n v="1"/>
    <n v="167080"/>
    <n v="189588"/>
    <n v="6"/>
    <n v="182"/>
    <n v="90.109890109890117"/>
  </r>
  <r>
    <s v="ORD1046"/>
    <x v="1"/>
    <x v="4"/>
    <x v="0"/>
    <x v="1"/>
    <n v="114"/>
    <n v="84"/>
    <n v="30"/>
    <n v="310"/>
    <n v="197"/>
    <n v="0"/>
    <n v="203388"/>
    <n v="196621"/>
    <n v="7"/>
    <n v="114"/>
    <n v="73.68421052631578"/>
  </r>
  <r>
    <s v="ORD1047"/>
    <x v="1"/>
    <x v="4"/>
    <x v="1"/>
    <x v="2"/>
    <n v="119"/>
    <n v="107"/>
    <n v="12"/>
    <n v="433"/>
    <n v="157"/>
    <n v="0"/>
    <n v="130627"/>
    <n v="133179"/>
    <n v="4"/>
    <n v="119"/>
    <n v="89.915966386554629"/>
  </r>
  <r>
    <s v="ORD1048"/>
    <x v="1"/>
    <x v="4"/>
    <x v="2"/>
    <x v="0"/>
    <n v="178"/>
    <n v="137"/>
    <n v="41"/>
    <n v="721"/>
    <n v="202"/>
    <n v="5"/>
    <n v="220565"/>
    <n v="220420"/>
    <n v="0"/>
    <n v="178"/>
    <n v="76.966292134831463"/>
  </r>
  <r>
    <s v="ORD1049"/>
    <x v="1"/>
    <x v="4"/>
    <x v="3"/>
    <x v="0"/>
    <n v="192"/>
    <n v="180"/>
    <n v="12"/>
    <n v="382"/>
    <n v="248"/>
    <n v="2"/>
    <n v="90028"/>
    <n v="83952"/>
    <n v="13"/>
    <n v="192"/>
    <n v="93.75"/>
  </r>
  <r>
    <s v="ORD1050"/>
    <x v="1"/>
    <x v="4"/>
    <x v="4"/>
    <x v="2"/>
    <n v="173"/>
    <n v="155"/>
    <n v="18"/>
    <n v="646"/>
    <n v="255"/>
    <n v="4"/>
    <n v="110315"/>
    <n v="112031"/>
    <n v="9"/>
    <n v="173"/>
    <n v="89.595375722543352"/>
  </r>
  <r>
    <s v="ORD1051"/>
    <x v="2"/>
    <x v="0"/>
    <x v="0"/>
    <x v="1"/>
    <n v="112"/>
    <n v="79"/>
    <n v="33"/>
    <n v="646"/>
    <n v="100"/>
    <n v="4"/>
    <n v="221151"/>
    <n v="244605"/>
    <n v="3"/>
    <n v="112"/>
    <n v="70.535714285714292"/>
  </r>
  <r>
    <s v="ORD1052"/>
    <x v="2"/>
    <x v="0"/>
    <x v="1"/>
    <x v="2"/>
    <n v="135"/>
    <n v="96"/>
    <n v="39"/>
    <n v="538"/>
    <n v="259"/>
    <n v="2"/>
    <n v="112669"/>
    <n v="125730"/>
    <n v="4"/>
    <n v="135"/>
    <n v="71.111111111111114"/>
  </r>
  <r>
    <s v="ORD1053"/>
    <x v="2"/>
    <x v="0"/>
    <x v="2"/>
    <x v="2"/>
    <n v="165"/>
    <n v="132"/>
    <n v="33"/>
    <n v="612"/>
    <n v="278"/>
    <n v="2"/>
    <n v="225335"/>
    <n v="211406"/>
    <n v="6"/>
    <n v="165"/>
    <n v="80"/>
  </r>
  <r>
    <s v="ORD1054"/>
    <x v="2"/>
    <x v="0"/>
    <x v="3"/>
    <x v="3"/>
    <n v="166"/>
    <n v="147"/>
    <n v="19"/>
    <n v="378"/>
    <n v="257"/>
    <n v="4"/>
    <n v="158892"/>
    <n v="162359"/>
    <n v="13"/>
    <n v="166"/>
    <n v="88.554216867469876"/>
  </r>
  <r>
    <s v="ORD1055"/>
    <x v="2"/>
    <x v="0"/>
    <x v="4"/>
    <x v="0"/>
    <n v="118"/>
    <n v="91"/>
    <n v="27"/>
    <n v="640"/>
    <n v="248"/>
    <n v="4"/>
    <n v="164475"/>
    <n v="170971"/>
    <n v="7"/>
    <n v="118"/>
    <n v="77.118644067796609"/>
  </r>
  <r>
    <s v="ORD1056"/>
    <x v="2"/>
    <x v="1"/>
    <x v="0"/>
    <x v="1"/>
    <n v="145"/>
    <n v="118"/>
    <n v="27"/>
    <n v="373"/>
    <n v="268"/>
    <n v="0"/>
    <n v="154392"/>
    <n v="162827"/>
    <n v="10"/>
    <n v="145"/>
    <n v="81.379310344827587"/>
  </r>
  <r>
    <s v="ORD1057"/>
    <x v="2"/>
    <x v="1"/>
    <x v="1"/>
    <x v="2"/>
    <n v="91"/>
    <n v="82"/>
    <n v="9"/>
    <n v="440"/>
    <n v="272"/>
    <n v="2"/>
    <n v="138888"/>
    <n v="158605"/>
    <n v="2"/>
    <n v="91"/>
    <n v="90.109890109890117"/>
  </r>
  <r>
    <s v="ORD1058"/>
    <x v="2"/>
    <x v="1"/>
    <x v="2"/>
    <x v="0"/>
    <n v="85"/>
    <n v="64"/>
    <n v="21"/>
    <n v="686"/>
    <n v="256"/>
    <n v="0"/>
    <n v="199384"/>
    <n v="204235"/>
    <n v="5"/>
    <n v="85"/>
    <n v="75.294117647058826"/>
  </r>
  <r>
    <s v="ORD1059"/>
    <x v="2"/>
    <x v="1"/>
    <x v="3"/>
    <x v="1"/>
    <n v="171"/>
    <n v="149"/>
    <n v="22"/>
    <n v="706"/>
    <n v="202"/>
    <n v="1"/>
    <n v="118684"/>
    <n v="130174"/>
    <n v="0"/>
    <n v="171"/>
    <n v="87.134502923976612"/>
  </r>
  <r>
    <s v="ORD1060"/>
    <x v="2"/>
    <x v="1"/>
    <x v="4"/>
    <x v="0"/>
    <n v="179"/>
    <n v="144"/>
    <n v="35"/>
    <n v="380"/>
    <n v="278"/>
    <n v="4"/>
    <n v="201778"/>
    <n v="184640"/>
    <n v="3"/>
    <n v="179"/>
    <n v="80.44692737430168"/>
  </r>
  <r>
    <s v="ORD1061"/>
    <x v="2"/>
    <x v="2"/>
    <x v="0"/>
    <x v="0"/>
    <n v="138"/>
    <n v="101"/>
    <n v="37"/>
    <n v="675"/>
    <n v="270"/>
    <n v="4"/>
    <n v="226518"/>
    <n v="244330"/>
    <n v="7"/>
    <n v="138"/>
    <n v="73.188405797101453"/>
  </r>
  <r>
    <s v="ORD1062"/>
    <x v="2"/>
    <x v="2"/>
    <x v="1"/>
    <x v="3"/>
    <n v="186"/>
    <n v="172"/>
    <n v="14"/>
    <n v="656"/>
    <n v="140"/>
    <n v="5"/>
    <n v="204433"/>
    <n v="211592"/>
    <n v="12"/>
    <n v="186"/>
    <n v="92.473118279569889"/>
  </r>
  <r>
    <s v="ORD1063"/>
    <x v="2"/>
    <x v="2"/>
    <x v="2"/>
    <x v="1"/>
    <n v="187"/>
    <n v="160"/>
    <n v="27"/>
    <n v="733"/>
    <n v="224"/>
    <n v="5"/>
    <n v="142716"/>
    <n v="140201"/>
    <n v="1"/>
    <n v="187"/>
    <n v="85.561497326203209"/>
  </r>
  <r>
    <s v="ORD1064"/>
    <x v="2"/>
    <x v="2"/>
    <x v="3"/>
    <x v="2"/>
    <n v="110"/>
    <n v="84"/>
    <n v="26"/>
    <n v="527"/>
    <n v="238"/>
    <n v="0"/>
    <n v="116273"/>
    <n v="109906"/>
    <n v="6"/>
    <n v="110"/>
    <n v="76.363636363636374"/>
  </r>
  <r>
    <s v="ORD1065"/>
    <x v="2"/>
    <x v="2"/>
    <x v="4"/>
    <x v="1"/>
    <n v="170"/>
    <n v="128"/>
    <n v="42"/>
    <n v="624"/>
    <n v="204"/>
    <n v="2"/>
    <n v="222242"/>
    <n v="231082"/>
    <n v="0"/>
    <n v="170"/>
    <n v="75.294117647058826"/>
  </r>
  <r>
    <s v="ORD1066"/>
    <x v="2"/>
    <x v="3"/>
    <x v="0"/>
    <x v="1"/>
    <n v="186"/>
    <n v="149"/>
    <n v="37"/>
    <n v="798"/>
    <n v="278"/>
    <n v="0"/>
    <n v="230913"/>
    <n v="234172"/>
    <n v="0"/>
    <n v="186"/>
    <n v="80.107526881720432"/>
  </r>
  <r>
    <s v="ORD1067"/>
    <x v="2"/>
    <x v="3"/>
    <x v="1"/>
    <x v="2"/>
    <n v="118"/>
    <n v="104"/>
    <n v="14"/>
    <n v="629"/>
    <n v="237"/>
    <n v="5"/>
    <n v="223165"/>
    <n v="254399"/>
    <n v="3"/>
    <n v="118"/>
    <n v="88.135593220338976"/>
  </r>
  <r>
    <s v="ORD1068"/>
    <x v="2"/>
    <x v="3"/>
    <x v="2"/>
    <x v="3"/>
    <n v="108"/>
    <n v="82"/>
    <n v="26"/>
    <n v="697"/>
    <n v="107"/>
    <n v="3"/>
    <n v="168114"/>
    <n v="185036"/>
    <n v="6"/>
    <n v="108"/>
    <n v="75.925925925925924"/>
  </r>
  <r>
    <s v="ORD1069"/>
    <x v="2"/>
    <x v="3"/>
    <x v="3"/>
    <x v="1"/>
    <n v="187"/>
    <n v="152"/>
    <n v="35"/>
    <n v="330"/>
    <n v="259"/>
    <n v="4"/>
    <n v="87069"/>
    <n v="102051"/>
    <n v="9"/>
    <n v="187"/>
    <n v="81.283422459893046"/>
  </r>
  <r>
    <s v="ORD1070"/>
    <x v="2"/>
    <x v="3"/>
    <x v="4"/>
    <x v="0"/>
    <n v="90"/>
    <n v="77"/>
    <n v="13"/>
    <n v="338"/>
    <n v="218"/>
    <n v="1"/>
    <n v="93181"/>
    <n v="91135"/>
    <n v="5"/>
    <n v="90"/>
    <n v="85.555555555555557"/>
  </r>
  <r>
    <s v="ORD1071"/>
    <x v="2"/>
    <x v="4"/>
    <x v="0"/>
    <x v="1"/>
    <n v="138"/>
    <n v="107"/>
    <n v="31"/>
    <n v="588"/>
    <n v="171"/>
    <n v="3"/>
    <n v="146131"/>
    <n v="168119"/>
    <n v="7"/>
    <n v="138"/>
    <n v="77.536231884057969"/>
  </r>
  <r>
    <s v="ORD1072"/>
    <x v="2"/>
    <x v="4"/>
    <x v="1"/>
    <x v="0"/>
    <n v="175"/>
    <n v="146"/>
    <n v="29"/>
    <n v="558"/>
    <n v="157"/>
    <n v="5"/>
    <n v="97987"/>
    <n v="111153"/>
    <n v="10"/>
    <n v="175"/>
    <n v="83.428571428571431"/>
  </r>
  <r>
    <s v="ORD1073"/>
    <x v="2"/>
    <x v="4"/>
    <x v="2"/>
    <x v="0"/>
    <n v="176"/>
    <n v="124"/>
    <n v="52"/>
    <n v="453"/>
    <n v="151"/>
    <n v="0"/>
    <n v="242879"/>
    <n v="229694"/>
    <n v="2"/>
    <n v="176"/>
    <n v="70.454545454545453"/>
  </r>
  <r>
    <s v="ORD1074"/>
    <x v="2"/>
    <x v="4"/>
    <x v="3"/>
    <x v="3"/>
    <n v="165"/>
    <n v="120"/>
    <n v="45"/>
    <n v="423"/>
    <n v="219"/>
    <n v="5"/>
    <n v="147172"/>
    <n v="166314"/>
    <n v="2"/>
    <n v="165"/>
    <n v="72.727272727272734"/>
  </r>
  <r>
    <s v="ORD1075"/>
    <x v="2"/>
    <x v="4"/>
    <x v="4"/>
    <x v="0"/>
    <n v="179"/>
    <n v="161"/>
    <n v="18"/>
    <n v="518"/>
    <n v="127"/>
    <n v="4"/>
    <n v="86731"/>
    <n v="102226"/>
    <n v="9"/>
    <n v="179"/>
    <n v="89.944134078212286"/>
  </r>
  <r>
    <s v="ORD1076"/>
    <x v="3"/>
    <x v="0"/>
    <x v="0"/>
    <x v="3"/>
    <n v="130"/>
    <n v="121"/>
    <n v="9"/>
    <n v="403"/>
    <n v="119"/>
    <n v="4"/>
    <n v="244427"/>
    <n v="237791"/>
    <n v="4"/>
    <n v="130"/>
    <n v="93.07692307692308"/>
  </r>
  <r>
    <s v="ORD1077"/>
    <x v="3"/>
    <x v="0"/>
    <x v="1"/>
    <x v="0"/>
    <n v="181"/>
    <n v="171"/>
    <n v="10"/>
    <n v="242"/>
    <n v="188"/>
    <n v="4"/>
    <n v="192296"/>
    <n v="211228"/>
    <n v="1"/>
    <n v="181"/>
    <n v="94.475138121546962"/>
  </r>
  <r>
    <s v="ORD1078"/>
    <x v="3"/>
    <x v="0"/>
    <x v="2"/>
    <x v="2"/>
    <n v="81"/>
    <n v="73"/>
    <n v="8"/>
    <n v="701"/>
    <n v="127"/>
    <n v="3"/>
    <n v="174945"/>
    <n v="190808"/>
    <n v="6"/>
    <n v="81"/>
    <n v="90.123456790123456"/>
  </r>
  <r>
    <s v="ORD1079"/>
    <x v="3"/>
    <x v="0"/>
    <x v="3"/>
    <x v="3"/>
    <n v="170"/>
    <n v="125"/>
    <n v="45"/>
    <n v="380"/>
    <n v="287"/>
    <n v="4"/>
    <n v="150800"/>
    <n v="163583"/>
    <n v="8"/>
    <n v="170"/>
    <n v="73.529411764705884"/>
  </r>
  <r>
    <s v="ORD1080"/>
    <x v="3"/>
    <x v="0"/>
    <x v="4"/>
    <x v="3"/>
    <n v="139"/>
    <n v="112"/>
    <n v="27"/>
    <n v="474"/>
    <n v="182"/>
    <n v="1"/>
    <n v="102718"/>
    <n v="101041"/>
    <n v="7"/>
    <n v="139"/>
    <n v="80.57553956834532"/>
  </r>
  <r>
    <s v="ORD1081"/>
    <x v="3"/>
    <x v="1"/>
    <x v="0"/>
    <x v="1"/>
    <n v="176"/>
    <n v="143"/>
    <n v="33"/>
    <n v="588"/>
    <n v="186"/>
    <n v="0"/>
    <n v="209579"/>
    <n v="242123"/>
    <n v="2"/>
    <n v="176"/>
    <n v="81.25"/>
  </r>
  <r>
    <s v="ORD1082"/>
    <x v="3"/>
    <x v="1"/>
    <x v="1"/>
    <x v="3"/>
    <n v="107"/>
    <n v="84"/>
    <n v="23"/>
    <n v="464"/>
    <n v="187"/>
    <n v="2"/>
    <n v="236278"/>
    <n v="262352"/>
    <n v="4"/>
    <n v="107"/>
    <n v="78.504672897196258"/>
  </r>
  <r>
    <s v="ORD1083"/>
    <x v="3"/>
    <x v="1"/>
    <x v="2"/>
    <x v="0"/>
    <n v="146"/>
    <n v="136"/>
    <n v="10"/>
    <n v="287"/>
    <n v="161"/>
    <n v="5"/>
    <n v="186542"/>
    <n v="195229"/>
    <n v="3"/>
    <n v="146"/>
    <n v="93.150684931506845"/>
  </r>
  <r>
    <s v="ORD1084"/>
    <x v="3"/>
    <x v="1"/>
    <x v="3"/>
    <x v="3"/>
    <n v="162"/>
    <n v="142"/>
    <n v="20"/>
    <n v="658"/>
    <n v="104"/>
    <n v="0"/>
    <n v="157132"/>
    <n v="151864"/>
    <n v="11"/>
    <n v="162"/>
    <n v="87.654320987654316"/>
  </r>
  <r>
    <s v="ORD1085"/>
    <x v="3"/>
    <x v="1"/>
    <x v="4"/>
    <x v="1"/>
    <n v="119"/>
    <n v="103"/>
    <n v="16"/>
    <n v="577"/>
    <n v="221"/>
    <n v="4"/>
    <n v="219177"/>
    <n v="219862"/>
    <n v="8"/>
    <n v="119"/>
    <n v="86.554621848739501"/>
  </r>
  <r>
    <s v="ORD1086"/>
    <x v="3"/>
    <x v="2"/>
    <x v="0"/>
    <x v="2"/>
    <n v="125"/>
    <n v="109"/>
    <n v="16"/>
    <n v="477"/>
    <n v="178"/>
    <n v="2"/>
    <n v="140434"/>
    <n v="131473"/>
    <n v="3"/>
    <n v="125"/>
    <n v="87.2"/>
  </r>
  <r>
    <s v="ORD1087"/>
    <x v="3"/>
    <x v="2"/>
    <x v="1"/>
    <x v="2"/>
    <n v="95"/>
    <n v="84"/>
    <n v="11"/>
    <n v="389"/>
    <n v="149"/>
    <n v="1"/>
    <n v="206929"/>
    <n v="203400"/>
    <n v="4"/>
    <n v="95"/>
    <n v="88.421052631578945"/>
  </r>
  <r>
    <s v="ORD1088"/>
    <x v="3"/>
    <x v="2"/>
    <x v="2"/>
    <x v="0"/>
    <n v="186"/>
    <n v="139"/>
    <n v="47"/>
    <n v="432"/>
    <n v="192"/>
    <n v="1"/>
    <n v="159237"/>
    <n v="143989"/>
    <n v="8"/>
    <n v="186"/>
    <n v="74.731182795698928"/>
  </r>
  <r>
    <s v="ORD1089"/>
    <x v="3"/>
    <x v="2"/>
    <x v="3"/>
    <x v="1"/>
    <n v="115"/>
    <n v="81"/>
    <n v="34"/>
    <n v="255"/>
    <n v="241"/>
    <n v="2"/>
    <n v="113103"/>
    <n v="123436"/>
    <n v="7"/>
    <n v="115"/>
    <n v="70.434782608695656"/>
  </r>
  <r>
    <s v="ORD1090"/>
    <x v="3"/>
    <x v="2"/>
    <x v="4"/>
    <x v="0"/>
    <n v="191"/>
    <n v="134"/>
    <n v="57"/>
    <n v="491"/>
    <n v="220"/>
    <n v="3"/>
    <n v="195466"/>
    <n v="195898"/>
    <n v="1"/>
    <n v="191"/>
    <n v="70.157068062827221"/>
  </r>
  <r>
    <s v="ORD1091"/>
    <x v="3"/>
    <x v="3"/>
    <x v="0"/>
    <x v="2"/>
    <n v="200"/>
    <n v="183"/>
    <n v="17"/>
    <n v="316"/>
    <n v="116"/>
    <n v="3"/>
    <n v="208908"/>
    <n v="192660"/>
    <n v="1"/>
    <n v="200"/>
    <n v="91.5"/>
  </r>
  <r>
    <s v="ORD1092"/>
    <x v="3"/>
    <x v="3"/>
    <x v="1"/>
    <x v="1"/>
    <n v="99"/>
    <n v="89"/>
    <n v="10"/>
    <n v="511"/>
    <n v="121"/>
    <n v="1"/>
    <n v="111051"/>
    <n v="118538"/>
    <n v="6"/>
    <n v="99"/>
    <n v="89.898989898989896"/>
  </r>
  <r>
    <s v="ORD1093"/>
    <x v="3"/>
    <x v="3"/>
    <x v="2"/>
    <x v="1"/>
    <n v="179"/>
    <n v="148"/>
    <n v="31"/>
    <n v="661"/>
    <n v="213"/>
    <n v="2"/>
    <n v="234278"/>
    <n v="280432"/>
    <n v="4"/>
    <n v="179"/>
    <n v="82.681564245810051"/>
  </r>
  <r>
    <s v="ORD1094"/>
    <x v="3"/>
    <x v="3"/>
    <x v="3"/>
    <x v="0"/>
    <n v="158"/>
    <n v="148"/>
    <n v="10"/>
    <n v="301"/>
    <n v="295"/>
    <n v="1"/>
    <n v="243975"/>
    <n v="235022"/>
    <n v="10"/>
    <n v="158"/>
    <n v="93.670886075949369"/>
  </r>
  <r>
    <s v="ORD1095"/>
    <x v="3"/>
    <x v="3"/>
    <x v="4"/>
    <x v="0"/>
    <n v="100"/>
    <n v="75"/>
    <n v="25"/>
    <n v="765"/>
    <n v="119"/>
    <n v="1"/>
    <n v="80701"/>
    <n v="82521"/>
    <n v="7"/>
    <n v="100"/>
    <n v="75"/>
  </r>
  <r>
    <s v="ORD1096"/>
    <x v="3"/>
    <x v="4"/>
    <x v="0"/>
    <x v="2"/>
    <n v="84"/>
    <n v="63"/>
    <n v="21"/>
    <n v="489"/>
    <n v="279"/>
    <n v="3"/>
    <n v="98659"/>
    <n v="109138"/>
    <n v="2"/>
    <n v="84"/>
    <n v="75"/>
  </r>
  <r>
    <s v="ORD1097"/>
    <x v="3"/>
    <x v="4"/>
    <x v="1"/>
    <x v="1"/>
    <n v="134"/>
    <n v="97"/>
    <n v="37"/>
    <n v="430"/>
    <n v="265"/>
    <n v="1"/>
    <n v="149633"/>
    <n v="171777"/>
    <n v="1"/>
    <n v="134"/>
    <n v="72.388059701492537"/>
  </r>
  <r>
    <s v="ORD1098"/>
    <x v="3"/>
    <x v="4"/>
    <x v="2"/>
    <x v="0"/>
    <n v="101"/>
    <n v="90"/>
    <n v="11"/>
    <n v="782"/>
    <n v="173"/>
    <n v="3"/>
    <n v="112598"/>
    <n v="117170"/>
    <n v="4"/>
    <n v="101"/>
    <n v="89.10891089108911"/>
  </r>
  <r>
    <s v="ORD1099"/>
    <x v="3"/>
    <x v="4"/>
    <x v="3"/>
    <x v="3"/>
    <n v="200"/>
    <n v="153"/>
    <n v="47"/>
    <n v="752"/>
    <n v="226"/>
    <n v="3"/>
    <n v="101087"/>
    <n v="109114"/>
    <n v="13"/>
    <n v="200"/>
    <n v="76.5"/>
  </r>
  <r>
    <s v="ORD1100"/>
    <x v="3"/>
    <x v="4"/>
    <x v="4"/>
    <x v="2"/>
    <n v="157"/>
    <n v="119"/>
    <n v="38"/>
    <n v="293"/>
    <n v="158"/>
    <n v="5"/>
    <n v="230784"/>
    <n v="248355"/>
    <n v="0"/>
    <n v="157"/>
    <n v="75.796178343949052"/>
  </r>
  <r>
    <s v="ORD1101"/>
    <x v="4"/>
    <x v="0"/>
    <x v="0"/>
    <x v="2"/>
    <n v="153"/>
    <n v="108"/>
    <n v="45"/>
    <n v="379"/>
    <n v="220"/>
    <n v="4"/>
    <n v="195927"/>
    <n v="230179"/>
    <n v="2"/>
    <n v="153"/>
    <n v="70.588235294117652"/>
  </r>
  <r>
    <s v="ORD1102"/>
    <x v="4"/>
    <x v="0"/>
    <x v="1"/>
    <x v="3"/>
    <n v="161"/>
    <n v="145"/>
    <n v="16"/>
    <n v="293"/>
    <n v="220"/>
    <n v="2"/>
    <n v="187046"/>
    <n v="187044"/>
    <n v="10"/>
    <n v="161"/>
    <n v="90.062111801242239"/>
  </r>
  <r>
    <s v="ORD1103"/>
    <x v="4"/>
    <x v="0"/>
    <x v="2"/>
    <x v="0"/>
    <n v="189"/>
    <n v="139"/>
    <n v="50"/>
    <n v="621"/>
    <n v="277"/>
    <n v="3"/>
    <n v="155554"/>
    <n v="170918"/>
    <n v="12"/>
    <n v="189"/>
    <n v="73.544973544973544"/>
  </r>
  <r>
    <s v="ORD1104"/>
    <x v="4"/>
    <x v="0"/>
    <x v="3"/>
    <x v="0"/>
    <n v="138"/>
    <n v="99"/>
    <n v="39"/>
    <n v="458"/>
    <n v="182"/>
    <n v="0"/>
    <n v="185952"/>
    <n v="215606"/>
    <n v="0"/>
    <n v="138"/>
    <n v="71.739130434782609"/>
  </r>
  <r>
    <s v="ORD1105"/>
    <x v="4"/>
    <x v="0"/>
    <x v="4"/>
    <x v="3"/>
    <n v="132"/>
    <n v="94"/>
    <n v="38"/>
    <n v="730"/>
    <n v="192"/>
    <n v="4"/>
    <n v="210676"/>
    <n v="229135"/>
    <n v="0"/>
    <n v="132"/>
    <n v="71.212121212121218"/>
  </r>
  <r>
    <s v="ORD1106"/>
    <x v="4"/>
    <x v="1"/>
    <x v="0"/>
    <x v="1"/>
    <n v="114"/>
    <n v="95"/>
    <n v="19"/>
    <n v="494"/>
    <n v="212"/>
    <n v="5"/>
    <n v="207064"/>
    <n v="193900"/>
    <n v="9"/>
    <n v="114"/>
    <n v="83.333333333333343"/>
  </r>
  <r>
    <s v="ORD1107"/>
    <x v="4"/>
    <x v="1"/>
    <x v="1"/>
    <x v="1"/>
    <n v="170"/>
    <n v="125"/>
    <n v="45"/>
    <n v="764"/>
    <n v="103"/>
    <n v="4"/>
    <n v="186952"/>
    <n v="173484"/>
    <n v="13"/>
    <n v="170"/>
    <n v="73.529411764705884"/>
  </r>
  <r>
    <s v="ORD1108"/>
    <x v="4"/>
    <x v="1"/>
    <x v="2"/>
    <x v="0"/>
    <n v="139"/>
    <n v="130"/>
    <n v="9"/>
    <n v="357"/>
    <n v="227"/>
    <n v="5"/>
    <n v="156509"/>
    <n v="164751"/>
    <n v="4"/>
    <n v="139"/>
    <n v="93.525179856115102"/>
  </r>
  <r>
    <s v="ORD1109"/>
    <x v="4"/>
    <x v="1"/>
    <x v="3"/>
    <x v="3"/>
    <n v="186"/>
    <n v="152"/>
    <n v="34"/>
    <n v="683"/>
    <n v="162"/>
    <n v="3"/>
    <n v="224510"/>
    <n v="211801"/>
    <n v="3"/>
    <n v="186"/>
    <n v="81.72043010752688"/>
  </r>
  <r>
    <s v="ORD1110"/>
    <x v="4"/>
    <x v="1"/>
    <x v="4"/>
    <x v="1"/>
    <n v="190"/>
    <n v="136"/>
    <n v="54"/>
    <n v="624"/>
    <n v="187"/>
    <n v="4"/>
    <n v="150037"/>
    <n v="171967"/>
    <n v="9"/>
    <n v="190"/>
    <n v="71.578947368421055"/>
  </r>
  <r>
    <s v="ORD1111"/>
    <x v="4"/>
    <x v="2"/>
    <x v="0"/>
    <x v="2"/>
    <n v="187"/>
    <n v="158"/>
    <n v="29"/>
    <n v="701"/>
    <n v="138"/>
    <n v="3"/>
    <n v="221185"/>
    <n v="231205"/>
    <n v="5"/>
    <n v="187"/>
    <n v="84.491978609625676"/>
  </r>
  <r>
    <s v="ORD1112"/>
    <x v="4"/>
    <x v="2"/>
    <x v="1"/>
    <x v="3"/>
    <n v="138"/>
    <n v="128"/>
    <n v="10"/>
    <n v="393"/>
    <n v="278"/>
    <n v="1"/>
    <n v="229893"/>
    <n v="233316"/>
    <n v="6"/>
    <n v="138"/>
    <n v="92.753623188405797"/>
  </r>
  <r>
    <s v="ORD1113"/>
    <x v="4"/>
    <x v="2"/>
    <x v="2"/>
    <x v="0"/>
    <n v="120"/>
    <n v="106"/>
    <n v="14"/>
    <n v="590"/>
    <n v="198"/>
    <n v="5"/>
    <n v="119873"/>
    <n v="125698"/>
    <n v="0"/>
    <n v="120"/>
    <n v="88.333333333333329"/>
  </r>
  <r>
    <s v="ORD1114"/>
    <x v="4"/>
    <x v="2"/>
    <x v="3"/>
    <x v="1"/>
    <n v="144"/>
    <n v="135"/>
    <n v="9"/>
    <n v="539"/>
    <n v="125"/>
    <n v="3"/>
    <n v="106138"/>
    <n v="112271"/>
    <n v="7"/>
    <n v="144"/>
    <n v="93.75"/>
  </r>
  <r>
    <s v="ORD1115"/>
    <x v="4"/>
    <x v="2"/>
    <x v="4"/>
    <x v="0"/>
    <n v="172"/>
    <n v="126"/>
    <n v="46"/>
    <n v="358"/>
    <n v="119"/>
    <n v="3"/>
    <n v="149474"/>
    <n v="149708"/>
    <n v="11"/>
    <n v="172"/>
    <n v="73.255813953488371"/>
  </r>
  <r>
    <s v="ORD1116"/>
    <x v="4"/>
    <x v="3"/>
    <x v="0"/>
    <x v="3"/>
    <n v="163"/>
    <n v="117"/>
    <n v="46"/>
    <n v="536"/>
    <n v="272"/>
    <n v="4"/>
    <n v="179617"/>
    <n v="213069"/>
    <n v="10"/>
    <n v="163"/>
    <n v="71.779141104294482"/>
  </r>
  <r>
    <s v="ORD1117"/>
    <x v="4"/>
    <x v="3"/>
    <x v="1"/>
    <x v="3"/>
    <n v="191"/>
    <n v="159"/>
    <n v="32"/>
    <n v="270"/>
    <n v="160"/>
    <n v="5"/>
    <n v="155334"/>
    <n v="186280"/>
    <n v="2"/>
    <n v="191"/>
    <n v="83.246073298429323"/>
  </r>
  <r>
    <s v="ORD1118"/>
    <x v="4"/>
    <x v="3"/>
    <x v="2"/>
    <x v="3"/>
    <n v="92"/>
    <n v="81"/>
    <n v="11"/>
    <n v="302"/>
    <n v="213"/>
    <n v="1"/>
    <n v="158503"/>
    <n v="185611"/>
    <n v="0"/>
    <n v="92"/>
    <n v="88.043478260869563"/>
  </r>
  <r>
    <s v="ORD1119"/>
    <x v="4"/>
    <x v="3"/>
    <x v="3"/>
    <x v="2"/>
    <n v="181"/>
    <n v="129"/>
    <n v="52"/>
    <n v="567"/>
    <n v="195"/>
    <n v="3"/>
    <n v="118160"/>
    <n v="115000"/>
    <n v="6"/>
    <n v="181"/>
    <n v="71.270718232044189"/>
  </r>
  <r>
    <s v="ORD1120"/>
    <x v="4"/>
    <x v="3"/>
    <x v="4"/>
    <x v="1"/>
    <n v="101"/>
    <n v="75"/>
    <n v="26"/>
    <n v="591"/>
    <n v="258"/>
    <n v="5"/>
    <n v="143132"/>
    <n v="150188"/>
    <n v="2"/>
    <n v="101"/>
    <n v="74.257425742574256"/>
  </r>
  <r>
    <s v="ORD1121"/>
    <x v="4"/>
    <x v="4"/>
    <x v="0"/>
    <x v="1"/>
    <n v="139"/>
    <n v="119"/>
    <n v="20"/>
    <n v="670"/>
    <n v="165"/>
    <n v="5"/>
    <n v="82463"/>
    <n v="96454"/>
    <n v="7"/>
    <n v="139"/>
    <n v="85.611510791366911"/>
  </r>
  <r>
    <s v="ORD1122"/>
    <x v="4"/>
    <x v="4"/>
    <x v="1"/>
    <x v="2"/>
    <n v="166"/>
    <n v="138"/>
    <n v="28"/>
    <n v="275"/>
    <n v="213"/>
    <n v="2"/>
    <n v="234028"/>
    <n v="231628"/>
    <n v="6"/>
    <n v="166"/>
    <n v="83.132530120481931"/>
  </r>
  <r>
    <s v="ORD1123"/>
    <x v="4"/>
    <x v="4"/>
    <x v="2"/>
    <x v="2"/>
    <n v="138"/>
    <n v="125"/>
    <n v="13"/>
    <n v="403"/>
    <n v="198"/>
    <n v="3"/>
    <n v="107958"/>
    <n v="104844"/>
    <n v="9"/>
    <n v="138"/>
    <n v="90.579710144927532"/>
  </r>
  <r>
    <s v="ORD1124"/>
    <x v="4"/>
    <x v="4"/>
    <x v="3"/>
    <x v="2"/>
    <n v="153"/>
    <n v="118"/>
    <n v="35"/>
    <n v="502"/>
    <n v="105"/>
    <n v="5"/>
    <n v="183758"/>
    <n v="180513"/>
    <n v="9"/>
    <n v="153"/>
    <n v="77.124183006535958"/>
  </r>
  <r>
    <s v="ORD1125"/>
    <x v="4"/>
    <x v="4"/>
    <x v="4"/>
    <x v="0"/>
    <n v="196"/>
    <n v="166"/>
    <n v="30"/>
    <n v="708"/>
    <n v="173"/>
    <n v="1"/>
    <n v="239138"/>
    <n v="272755"/>
    <n v="7"/>
    <n v="196"/>
    <n v="84.693877551020407"/>
  </r>
  <r>
    <s v="ORD1126"/>
    <x v="5"/>
    <x v="0"/>
    <x v="0"/>
    <x v="1"/>
    <n v="159"/>
    <n v="121"/>
    <n v="38"/>
    <n v="340"/>
    <n v="260"/>
    <n v="0"/>
    <n v="244484"/>
    <n v="267441"/>
    <n v="4"/>
    <n v="159"/>
    <n v="76.100628930817621"/>
  </r>
  <r>
    <s v="ORD1127"/>
    <x v="5"/>
    <x v="0"/>
    <x v="1"/>
    <x v="3"/>
    <n v="84"/>
    <n v="70"/>
    <n v="14"/>
    <n v="334"/>
    <n v="123"/>
    <n v="2"/>
    <n v="165647"/>
    <n v="186227"/>
    <n v="1"/>
    <n v="84"/>
    <n v="83.333333333333343"/>
  </r>
  <r>
    <s v="ORD1128"/>
    <x v="5"/>
    <x v="0"/>
    <x v="2"/>
    <x v="1"/>
    <n v="96"/>
    <n v="86"/>
    <n v="10"/>
    <n v="574"/>
    <n v="235"/>
    <n v="4"/>
    <n v="151441"/>
    <n v="174027"/>
    <n v="4"/>
    <n v="96"/>
    <n v="89.583333333333343"/>
  </r>
  <r>
    <s v="ORD1129"/>
    <x v="5"/>
    <x v="0"/>
    <x v="3"/>
    <x v="3"/>
    <n v="183"/>
    <n v="141"/>
    <n v="42"/>
    <n v="546"/>
    <n v="129"/>
    <n v="3"/>
    <n v="99739"/>
    <n v="93976"/>
    <n v="3"/>
    <n v="183"/>
    <n v="77.049180327868854"/>
  </r>
  <r>
    <s v="ORD1130"/>
    <x v="5"/>
    <x v="0"/>
    <x v="4"/>
    <x v="3"/>
    <n v="188"/>
    <n v="169"/>
    <n v="19"/>
    <n v="574"/>
    <n v="123"/>
    <n v="3"/>
    <n v="83648"/>
    <n v="81919"/>
    <n v="3"/>
    <n v="188"/>
    <n v="89.893617021276597"/>
  </r>
  <r>
    <s v="ORD1131"/>
    <x v="5"/>
    <x v="1"/>
    <x v="0"/>
    <x v="3"/>
    <n v="127"/>
    <n v="110"/>
    <n v="17"/>
    <n v="468"/>
    <n v="249"/>
    <n v="3"/>
    <n v="247391"/>
    <n v="292437"/>
    <n v="1"/>
    <n v="127"/>
    <n v="86.614173228346459"/>
  </r>
  <r>
    <s v="ORD1132"/>
    <x v="5"/>
    <x v="1"/>
    <x v="1"/>
    <x v="1"/>
    <n v="140"/>
    <n v="98"/>
    <n v="42"/>
    <n v="774"/>
    <n v="183"/>
    <n v="4"/>
    <n v="138030"/>
    <n v="151045"/>
    <n v="10"/>
    <n v="140"/>
    <n v="70"/>
  </r>
  <r>
    <s v="ORD1133"/>
    <x v="5"/>
    <x v="1"/>
    <x v="2"/>
    <x v="3"/>
    <n v="196"/>
    <n v="171"/>
    <n v="25"/>
    <n v="618"/>
    <n v="129"/>
    <n v="1"/>
    <n v="91887"/>
    <n v="108783"/>
    <n v="9"/>
    <n v="196"/>
    <n v="87.244897959183675"/>
  </r>
  <r>
    <s v="ORD1134"/>
    <x v="5"/>
    <x v="1"/>
    <x v="3"/>
    <x v="3"/>
    <n v="94"/>
    <n v="68"/>
    <n v="26"/>
    <n v="750"/>
    <n v="134"/>
    <n v="3"/>
    <n v="198919"/>
    <n v="201167"/>
    <n v="6"/>
    <n v="94"/>
    <n v="72.340425531914903"/>
  </r>
  <r>
    <s v="ORD1135"/>
    <x v="5"/>
    <x v="1"/>
    <x v="4"/>
    <x v="1"/>
    <n v="193"/>
    <n v="155"/>
    <n v="38"/>
    <n v="301"/>
    <n v="225"/>
    <n v="4"/>
    <n v="186985"/>
    <n v="220963"/>
    <n v="8"/>
    <n v="193"/>
    <n v="80.310880829015545"/>
  </r>
  <r>
    <s v="ORD1136"/>
    <x v="5"/>
    <x v="2"/>
    <x v="0"/>
    <x v="0"/>
    <n v="168"/>
    <n v="133"/>
    <n v="35"/>
    <n v="654"/>
    <n v="213"/>
    <n v="1"/>
    <n v="175075"/>
    <n v="162785"/>
    <n v="10"/>
    <n v="168"/>
    <n v="79.166666666666657"/>
  </r>
  <r>
    <s v="ORD1137"/>
    <x v="5"/>
    <x v="2"/>
    <x v="1"/>
    <x v="2"/>
    <n v="149"/>
    <n v="137"/>
    <n v="12"/>
    <n v="567"/>
    <n v="115"/>
    <n v="3"/>
    <n v="152320"/>
    <n v="145761"/>
    <n v="1"/>
    <n v="149"/>
    <n v="91.946308724832221"/>
  </r>
  <r>
    <s v="ORD1138"/>
    <x v="5"/>
    <x v="2"/>
    <x v="2"/>
    <x v="3"/>
    <n v="91"/>
    <n v="78"/>
    <n v="13"/>
    <n v="221"/>
    <n v="112"/>
    <n v="2"/>
    <n v="143850"/>
    <n v="172137"/>
    <n v="3"/>
    <n v="91"/>
    <n v="85.714285714285708"/>
  </r>
  <r>
    <s v="ORD1139"/>
    <x v="5"/>
    <x v="2"/>
    <x v="3"/>
    <x v="0"/>
    <n v="186"/>
    <n v="165"/>
    <n v="21"/>
    <n v="412"/>
    <n v="250"/>
    <n v="1"/>
    <n v="141079"/>
    <n v="140876"/>
    <n v="2"/>
    <n v="186"/>
    <n v="88.709677419354833"/>
  </r>
  <r>
    <s v="ORD1140"/>
    <x v="5"/>
    <x v="2"/>
    <x v="4"/>
    <x v="0"/>
    <n v="115"/>
    <n v="105"/>
    <n v="10"/>
    <n v="348"/>
    <n v="133"/>
    <n v="4"/>
    <n v="145707"/>
    <n v="166041"/>
    <n v="1"/>
    <n v="115"/>
    <n v="91.304347826086953"/>
  </r>
  <r>
    <s v="ORD1141"/>
    <x v="5"/>
    <x v="3"/>
    <x v="0"/>
    <x v="0"/>
    <n v="96"/>
    <n v="67"/>
    <n v="29"/>
    <n v="443"/>
    <n v="250"/>
    <n v="2"/>
    <n v="84136"/>
    <n v="80120"/>
    <n v="0"/>
    <n v="96"/>
    <n v="69.791666666666657"/>
  </r>
  <r>
    <s v="ORD1142"/>
    <x v="5"/>
    <x v="3"/>
    <x v="1"/>
    <x v="1"/>
    <n v="174"/>
    <n v="140"/>
    <n v="34"/>
    <n v="316"/>
    <n v="290"/>
    <n v="0"/>
    <n v="204845"/>
    <n v="211908"/>
    <n v="5"/>
    <n v="174"/>
    <n v="80.459770114942529"/>
  </r>
  <r>
    <s v="ORD1143"/>
    <x v="5"/>
    <x v="3"/>
    <x v="2"/>
    <x v="0"/>
    <n v="137"/>
    <n v="113"/>
    <n v="24"/>
    <n v="244"/>
    <n v="286"/>
    <n v="5"/>
    <n v="216695"/>
    <n v="214634"/>
    <n v="10"/>
    <n v="137"/>
    <n v="82.481751824817522"/>
  </r>
  <r>
    <s v="ORD1144"/>
    <x v="5"/>
    <x v="3"/>
    <x v="3"/>
    <x v="0"/>
    <n v="87"/>
    <n v="82"/>
    <n v="5"/>
    <n v="611"/>
    <n v="209"/>
    <n v="5"/>
    <n v="108301"/>
    <n v="113399"/>
    <n v="3"/>
    <n v="87"/>
    <n v="94.252873563218387"/>
  </r>
  <r>
    <s v="ORD1145"/>
    <x v="5"/>
    <x v="3"/>
    <x v="4"/>
    <x v="0"/>
    <n v="195"/>
    <n v="140"/>
    <n v="55"/>
    <n v="351"/>
    <n v="116"/>
    <n v="1"/>
    <n v="152093"/>
    <n v="165369"/>
    <n v="10"/>
    <n v="195"/>
    <n v="71.794871794871796"/>
  </r>
  <r>
    <s v="ORD1146"/>
    <x v="5"/>
    <x v="4"/>
    <x v="0"/>
    <x v="3"/>
    <n v="156"/>
    <n v="129"/>
    <n v="27"/>
    <n v="664"/>
    <n v="229"/>
    <n v="4"/>
    <n v="192774"/>
    <n v="179232"/>
    <n v="11"/>
    <n v="156"/>
    <n v="82.692307692307693"/>
  </r>
  <r>
    <s v="ORD1147"/>
    <x v="5"/>
    <x v="4"/>
    <x v="1"/>
    <x v="0"/>
    <n v="189"/>
    <n v="163"/>
    <n v="26"/>
    <n v="764"/>
    <n v="284"/>
    <n v="1"/>
    <n v="192740"/>
    <n v="199575"/>
    <n v="7"/>
    <n v="189"/>
    <n v="86.24338624338624"/>
  </r>
  <r>
    <s v="ORD1148"/>
    <x v="5"/>
    <x v="4"/>
    <x v="2"/>
    <x v="3"/>
    <n v="123"/>
    <n v="111"/>
    <n v="12"/>
    <n v="608"/>
    <n v="206"/>
    <n v="5"/>
    <n v="104926"/>
    <n v="104271"/>
    <n v="5"/>
    <n v="123"/>
    <n v="90.243902439024396"/>
  </r>
  <r>
    <s v="ORD1149"/>
    <x v="5"/>
    <x v="4"/>
    <x v="3"/>
    <x v="2"/>
    <n v="127"/>
    <n v="119"/>
    <n v="8"/>
    <n v="685"/>
    <n v="117"/>
    <n v="0"/>
    <n v="102377"/>
    <n v="95002"/>
    <n v="1"/>
    <n v="127"/>
    <n v="93.7007874015748"/>
  </r>
  <r>
    <s v="ORD1150"/>
    <x v="5"/>
    <x v="4"/>
    <x v="4"/>
    <x v="2"/>
    <n v="183"/>
    <n v="134"/>
    <n v="49"/>
    <n v="261"/>
    <n v="250"/>
    <n v="4"/>
    <n v="227241"/>
    <n v="226989"/>
    <n v="1"/>
    <n v="183"/>
    <n v="73.224043715847003"/>
  </r>
  <r>
    <s v="ORD1151"/>
    <x v="6"/>
    <x v="0"/>
    <x v="0"/>
    <x v="3"/>
    <n v="125"/>
    <n v="114"/>
    <n v="11"/>
    <n v="633"/>
    <n v="284"/>
    <n v="0"/>
    <n v="155400"/>
    <n v="167851"/>
    <n v="5"/>
    <n v="125"/>
    <n v="91.2"/>
  </r>
  <r>
    <s v="ORD1152"/>
    <x v="6"/>
    <x v="0"/>
    <x v="1"/>
    <x v="0"/>
    <n v="153"/>
    <n v="126"/>
    <n v="27"/>
    <n v="358"/>
    <n v="268"/>
    <n v="3"/>
    <n v="138784"/>
    <n v="160182"/>
    <n v="5"/>
    <n v="153"/>
    <n v="82.35294117647058"/>
  </r>
  <r>
    <s v="ORD1153"/>
    <x v="6"/>
    <x v="0"/>
    <x v="2"/>
    <x v="2"/>
    <n v="94"/>
    <n v="83"/>
    <n v="11"/>
    <n v="787"/>
    <n v="157"/>
    <n v="3"/>
    <n v="227053"/>
    <n v="270729"/>
    <n v="0"/>
    <n v="94"/>
    <n v="88.297872340425528"/>
  </r>
  <r>
    <s v="ORD1154"/>
    <x v="6"/>
    <x v="0"/>
    <x v="3"/>
    <x v="2"/>
    <n v="83"/>
    <n v="61"/>
    <n v="22"/>
    <n v="516"/>
    <n v="186"/>
    <n v="2"/>
    <n v="81600"/>
    <n v="77880"/>
    <n v="1"/>
    <n v="83"/>
    <n v="73.493975903614455"/>
  </r>
  <r>
    <s v="ORD1155"/>
    <x v="6"/>
    <x v="0"/>
    <x v="4"/>
    <x v="3"/>
    <n v="88"/>
    <n v="64"/>
    <n v="24"/>
    <n v="231"/>
    <n v="123"/>
    <n v="5"/>
    <n v="219062"/>
    <n v="211294"/>
    <n v="6"/>
    <n v="88"/>
    <n v="72.727272727272734"/>
  </r>
  <r>
    <s v="ORD1156"/>
    <x v="6"/>
    <x v="1"/>
    <x v="0"/>
    <x v="3"/>
    <n v="123"/>
    <n v="90"/>
    <n v="33"/>
    <n v="519"/>
    <n v="284"/>
    <n v="2"/>
    <n v="228791"/>
    <n v="246835"/>
    <n v="0"/>
    <n v="123"/>
    <n v="73.170731707317074"/>
  </r>
  <r>
    <s v="ORD1157"/>
    <x v="6"/>
    <x v="1"/>
    <x v="1"/>
    <x v="1"/>
    <n v="100"/>
    <n v="88"/>
    <n v="12"/>
    <n v="250"/>
    <n v="272"/>
    <n v="0"/>
    <n v="151330"/>
    <n v="156313"/>
    <n v="6"/>
    <n v="100"/>
    <n v="88"/>
  </r>
  <r>
    <s v="ORD1158"/>
    <x v="6"/>
    <x v="1"/>
    <x v="2"/>
    <x v="3"/>
    <n v="157"/>
    <n v="127"/>
    <n v="30"/>
    <n v="479"/>
    <n v="155"/>
    <n v="4"/>
    <n v="109836"/>
    <n v="110226"/>
    <n v="1"/>
    <n v="157"/>
    <n v="80.891719745222929"/>
  </r>
  <r>
    <s v="ORD1159"/>
    <x v="6"/>
    <x v="1"/>
    <x v="3"/>
    <x v="2"/>
    <n v="166"/>
    <n v="144"/>
    <n v="22"/>
    <n v="698"/>
    <n v="234"/>
    <n v="5"/>
    <n v="160850"/>
    <n v="146956"/>
    <n v="6"/>
    <n v="166"/>
    <n v="86.746987951807228"/>
  </r>
  <r>
    <s v="ORD1160"/>
    <x v="6"/>
    <x v="1"/>
    <x v="4"/>
    <x v="0"/>
    <n v="80"/>
    <n v="60"/>
    <n v="20"/>
    <n v="416"/>
    <n v="296"/>
    <n v="1"/>
    <n v="146982"/>
    <n v="145046"/>
    <n v="0"/>
    <n v="80"/>
    <n v="75"/>
  </r>
  <r>
    <s v="ORD1161"/>
    <x v="6"/>
    <x v="2"/>
    <x v="0"/>
    <x v="0"/>
    <n v="143"/>
    <n v="126"/>
    <n v="17"/>
    <n v="379"/>
    <n v="133"/>
    <n v="3"/>
    <n v="219613"/>
    <n v="244012"/>
    <n v="8"/>
    <n v="143"/>
    <n v="88.111888111888121"/>
  </r>
  <r>
    <s v="ORD1162"/>
    <x v="6"/>
    <x v="2"/>
    <x v="1"/>
    <x v="2"/>
    <n v="89"/>
    <n v="71"/>
    <n v="18"/>
    <n v="243"/>
    <n v="211"/>
    <n v="0"/>
    <n v="200521"/>
    <n v="235882"/>
    <n v="5"/>
    <n v="89"/>
    <n v="79.775280898876403"/>
  </r>
  <r>
    <s v="ORD1163"/>
    <x v="6"/>
    <x v="2"/>
    <x v="2"/>
    <x v="3"/>
    <n v="153"/>
    <n v="122"/>
    <n v="31"/>
    <n v="627"/>
    <n v="174"/>
    <n v="0"/>
    <n v="186176"/>
    <n v="168723"/>
    <n v="5"/>
    <n v="153"/>
    <n v="79.738562091503269"/>
  </r>
  <r>
    <s v="ORD1164"/>
    <x v="6"/>
    <x v="2"/>
    <x v="3"/>
    <x v="1"/>
    <n v="182"/>
    <n v="170"/>
    <n v="12"/>
    <n v="671"/>
    <n v="276"/>
    <n v="2"/>
    <n v="103102"/>
    <n v="106299"/>
    <n v="1"/>
    <n v="182"/>
    <n v="93.406593406593402"/>
  </r>
  <r>
    <s v="ORD1165"/>
    <x v="6"/>
    <x v="2"/>
    <x v="4"/>
    <x v="1"/>
    <n v="135"/>
    <n v="114"/>
    <n v="21"/>
    <n v="736"/>
    <n v="120"/>
    <n v="3"/>
    <n v="161336"/>
    <n v="181299"/>
    <n v="3"/>
    <n v="135"/>
    <n v="84.444444444444443"/>
  </r>
  <r>
    <s v="ORD1166"/>
    <x v="6"/>
    <x v="3"/>
    <x v="0"/>
    <x v="2"/>
    <n v="179"/>
    <n v="132"/>
    <n v="47"/>
    <n v="722"/>
    <n v="262"/>
    <n v="0"/>
    <n v="219094"/>
    <n v="230702"/>
    <n v="14"/>
    <n v="179"/>
    <n v="73.743016759776538"/>
  </r>
  <r>
    <s v="ORD1167"/>
    <x v="6"/>
    <x v="3"/>
    <x v="1"/>
    <x v="2"/>
    <n v="124"/>
    <n v="109"/>
    <n v="15"/>
    <n v="351"/>
    <n v="160"/>
    <n v="0"/>
    <n v="118389"/>
    <n v="115641"/>
    <n v="2"/>
    <n v="124"/>
    <n v="87.903225806451616"/>
  </r>
  <r>
    <s v="ORD1168"/>
    <x v="6"/>
    <x v="3"/>
    <x v="2"/>
    <x v="1"/>
    <n v="177"/>
    <n v="157"/>
    <n v="20"/>
    <n v="277"/>
    <n v="145"/>
    <n v="5"/>
    <n v="209529"/>
    <n v="217739"/>
    <n v="9"/>
    <n v="177"/>
    <n v="88.700564971751419"/>
  </r>
  <r>
    <s v="ORD1169"/>
    <x v="6"/>
    <x v="3"/>
    <x v="3"/>
    <x v="3"/>
    <n v="167"/>
    <n v="155"/>
    <n v="12"/>
    <n v="778"/>
    <n v="264"/>
    <n v="5"/>
    <n v="243714"/>
    <n v="242973"/>
    <n v="10"/>
    <n v="167"/>
    <n v="92.814371257485035"/>
  </r>
  <r>
    <s v="ORD1170"/>
    <x v="6"/>
    <x v="3"/>
    <x v="4"/>
    <x v="2"/>
    <n v="99"/>
    <n v="80"/>
    <n v="19"/>
    <n v="680"/>
    <n v="213"/>
    <n v="5"/>
    <n v="159382"/>
    <n v="181519"/>
    <n v="0"/>
    <n v="99"/>
    <n v="80.808080808080803"/>
  </r>
  <r>
    <s v="ORD1171"/>
    <x v="6"/>
    <x v="4"/>
    <x v="0"/>
    <x v="2"/>
    <n v="144"/>
    <n v="103"/>
    <n v="41"/>
    <n v="672"/>
    <n v="215"/>
    <n v="0"/>
    <n v="94913"/>
    <n v="95921"/>
    <n v="4"/>
    <n v="144"/>
    <n v="71.527777777777786"/>
  </r>
  <r>
    <s v="ORD1172"/>
    <x v="6"/>
    <x v="4"/>
    <x v="1"/>
    <x v="0"/>
    <n v="162"/>
    <n v="148"/>
    <n v="14"/>
    <n v="292"/>
    <n v="257"/>
    <n v="4"/>
    <n v="212924"/>
    <n v="216191"/>
    <n v="9"/>
    <n v="162"/>
    <n v="91.358024691358025"/>
  </r>
  <r>
    <s v="ORD1173"/>
    <x v="6"/>
    <x v="4"/>
    <x v="2"/>
    <x v="0"/>
    <n v="137"/>
    <n v="127"/>
    <n v="10"/>
    <n v="785"/>
    <n v="266"/>
    <n v="1"/>
    <n v="164286"/>
    <n v="177675"/>
    <n v="8"/>
    <n v="137"/>
    <n v="92.700729927007302"/>
  </r>
  <r>
    <s v="ORD1174"/>
    <x v="6"/>
    <x v="4"/>
    <x v="3"/>
    <x v="1"/>
    <n v="87"/>
    <n v="70"/>
    <n v="17"/>
    <n v="551"/>
    <n v="282"/>
    <n v="0"/>
    <n v="212264"/>
    <n v="232182"/>
    <n v="0"/>
    <n v="87"/>
    <n v="80.459770114942529"/>
  </r>
  <r>
    <s v="ORD1175"/>
    <x v="6"/>
    <x v="4"/>
    <x v="4"/>
    <x v="1"/>
    <n v="170"/>
    <n v="137"/>
    <n v="33"/>
    <n v="649"/>
    <n v="234"/>
    <n v="4"/>
    <n v="239856"/>
    <n v="227293"/>
    <n v="5"/>
    <n v="170"/>
    <n v="80.588235294117652"/>
  </r>
  <r>
    <s v="ORD1176"/>
    <x v="7"/>
    <x v="0"/>
    <x v="0"/>
    <x v="2"/>
    <n v="129"/>
    <n v="103"/>
    <n v="26"/>
    <n v="546"/>
    <n v="273"/>
    <n v="4"/>
    <n v="93727"/>
    <n v="106545"/>
    <n v="10"/>
    <n v="129"/>
    <n v="79.84496124031007"/>
  </r>
  <r>
    <s v="ORD1177"/>
    <x v="7"/>
    <x v="0"/>
    <x v="1"/>
    <x v="2"/>
    <n v="88"/>
    <n v="68"/>
    <n v="20"/>
    <n v="771"/>
    <n v="273"/>
    <n v="3"/>
    <n v="154487"/>
    <n v="150717"/>
    <n v="2"/>
    <n v="88"/>
    <n v="77.272727272727266"/>
  </r>
  <r>
    <s v="ORD1178"/>
    <x v="7"/>
    <x v="0"/>
    <x v="2"/>
    <x v="2"/>
    <n v="90"/>
    <n v="76"/>
    <n v="14"/>
    <n v="344"/>
    <n v="189"/>
    <n v="2"/>
    <n v="182749"/>
    <n v="171543"/>
    <n v="1"/>
    <n v="90"/>
    <n v="84.444444444444443"/>
  </r>
  <r>
    <s v="ORD1179"/>
    <x v="7"/>
    <x v="0"/>
    <x v="3"/>
    <x v="2"/>
    <n v="151"/>
    <n v="119"/>
    <n v="32"/>
    <n v="536"/>
    <n v="132"/>
    <n v="5"/>
    <n v="217990"/>
    <n v="202302"/>
    <n v="10"/>
    <n v="151"/>
    <n v="78.807947019867555"/>
  </r>
  <r>
    <s v="ORD1180"/>
    <x v="7"/>
    <x v="0"/>
    <x v="4"/>
    <x v="3"/>
    <n v="145"/>
    <n v="114"/>
    <n v="31"/>
    <n v="571"/>
    <n v="179"/>
    <n v="1"/>
    <n v="136149"/>
    <n v="136492"/>
    <n v="7"/>
    <n v="145"/>
    <n v="78.620689655172413"/>
  </r>
  <r>
    <s v="ORD1181"/>
    <x v="7"/>
    <x v="1"/>
    <x v="0"/>
    <x v="1"/>
    <n v="108"/>
    <n v="102"/>
    <n v="6"/>
    <n v="358"/>
    <n v="119"/>
    <n v="2"/>
    <n v="106513"/>
    <n v="112084"/>
    <n v="8"/>
    <n v="108"/>
    <n v="94.444444444444443"/>
  </r>
  <r>
    <s v="ORD1182"/>
    <x v="7"/>
    <x v="1"/>
    <x v="1"/>
    <x v="0"/>
    <n v="164"/>
    <n v="128"/>
    <n v="36"/>
    <n v="334"/>
    <n v="252"/>
    <n v="3"/>
    <n v="120436"/>
    <n v="114254"/>
    <n v="13"/>
    <n v="164"/>
    <n v="78.048780487804876"/>
  </r>
  <r>
    <s v="ORD1183"/>
    <x v="7"/>
    <x v="1"/>
    <x v="2"/>
    <x v="1"/>
    <n v="172"/>
    <n v="139"/>
    <n v="33"/>
    <n v="620"/>
    <n v="193"/>
    <n v="5"/>
    <n v="142267"/>
    <n v="169422"/>
    <n v="9"/>
    <n v="172"/>
    <n v="80.813953488372093"/>
  </r>
  <r>
    <s v="ORD1184"/>
    <x v="7"/>
    <x v="1"/>
    <x v="3"/>
    <x v="2"/>
    <n v="176"/>
    <n v="156"/>
    <n v="20"/>
    <n v="659"/>
    <n v="159"/>
    <n v="4"/>
    <n v="142696"/>
    <n v="141674"/>
    <n v="12"/>
    <n v="176"/>
    <n v="88.63636363636364"/>
  </r>
  <r>
    <s v="ORD1185"/>
    <x v="7"/>
    <x v="1"/>
    <x v="4"/>
    <x v="3"/>
    <n v="195"/>
    <n v="177"/>
    <n v="18"/>
    <n v="576"/>
    <n v="273"/>
    <n v="4"/>
    <n v="195499"/>
    <n v="203026"/>
    <n v="9"/>
    <n v="195"/>
    <n v="90.769230769230774"/>
  </r>
  <r>
    <s v="ORD1186"/>
    <x v="7"/>
    <x v="2"/>
    <x v="0"/>
    <x v="3"/>
    <n v="144"/>
    <n v="119"/>
    <n v="25"/>
    <n v="365"/>
    <n v="151"/>
    <n v="4"/>
    <n v="116280"/>
    <n v="135105"/>
    <n v="0"/>
    <n v="144"/>
    <n v="82.638888888888886"/>
  </r>
  <r>
    <s v="ORD1187"/>
    <x v="7"/>
    <x v="2"/>
    <x v="1"/>
    <x v="3"/>
    <n v="191"/>
    <n v="151"/>
    <n v="40"/>
    <n v="305"/>
    <n v="282"/>
    <n v="4"/>
    <n v="112683"/>
    <n v="111051"/>
    <n v="5"/>
    <n v="191"/>
    <n v="79.057591623036643"/>
  </r>
  <r>
    <s v="ORD1188"/>
    <x v="7"/>
    <x v="2"/>
    <x v="2"/>
    <x v="2"/>
    <n v="137"/>
    <n v="126"/>
    <n v="11"/>
    <n v="350"/>
    <n v="211"/>
    <n v="0"/>
    <n v="138205"/>
    <n v="158246"/>
    <n v="5"/>
    <n v="137"/>
    <n v="91.970802919708035"/>
  </r>
  <r>
    <s v="ORD1189"/>
    <x v="7"/>
    <x v="2"/>
    <x v="3"/>
    <x v="0"/>
    <n v="133"/>
    <n v="94"/>
    <n v="39"/>
    <n v="714"/>
    <n v="195"/>
    <n v="1"/>
    <n v="181231"/>
    <n v="217179"/>
    <n v="5"/>
    <n v="133"/>
    <n v="70.676691729323309"/>
  </r>
  <r>
    <s v="ORD1190"/>
    <x v="7"/>
    <x v="2"/>
    <x v="4"/>
    <x v="1"/>
    <n v="83"/>
    <n v="64"/>
    <n v="19"/>
    <n v="301"/>
    <n v="282"/>
    <n v="5"/>
    <n v="167894"/>
    <n v="190965"/>
    <n v="1"/>
    <n v="83"/>
    <n v="77.108433734939766"/>
  </r>
  <r>
    <s v="ORD1191"/>
    <x v="7"/>
    <x v="3"/>
    <x v="0"/>
    <x v="0"/>
    <n v="116"/>
    <n v="107"/>
    <n v="9"/>
    <n v="683"/>
    <n v="278"/>
    <n v="1"/>
    <n v="202974"/>
    <n v="209992"/>
    <n v="0"/>
    <n v="116"/>
    <n v="92.241379310344826"/>
  </r>
  <r>
    <s v="ORD1192"/>
    <x v="7"/>
    <x v="3"/>
    <x v="1"/>
    <x v="0"/>
    <n v="82"/>
    <n v="62"/>
    <n v="20"/>
    <n v="353"/>
    <n v="240"/>
    <n v="5"/>
    <n v="239614"/>
    <n v="253591"/>
    <n v="0"/>
    <n v="82"/>
    <n v="75.609756097560975"/>
  </r>
  <r>
    <s v="ORD1193"/>
    <x v="7"/>
    <x v="3"/>
    <x v="2"/>
    <x v="2"/>
    <n v="110"/>
    <n v="85"/>
    <n v="25"/>
    <n v="248"/>
    <n v="161"/>
    <n v="3"/>
    <n v="247497"/>
    <n v="281693"/>
    <n v="7"/>
    <n v="110"/>
    <n v="77.272727272727266"/>
  </r>
  <r>
    <s v="ORD1194"/>
    <x v="7"/>
    <x v="3"/>
    <x v="3"/>
    <x v="0"/>
    <n v="94"/>
    <n v="85"/>
    <n v="9"/>
    <n v="711"/>
    <n v="252"/>
    <n v="4"/>
    <n v="84308"/>
    <n v="91860"/>
    <n v="3"/>
    <n v="94"/>
    <n v="90.425531914893625"/>
  </r>
  <r>
    <s v="ORD1195"/>
    <x v="7"/>
    <x v="3"/>
    <x v="4"/>
    <x v="1"/>
    <n v="117"/>
    <n v="94"/>
    <n v="23"/>
    <n v="561"/>
    <n v="161"/>
    <n v="4"/>
    <n v="189200"/>
    <n v="180911"/>
    <n v="1"/>
    <n v="117"/>
    <n v="80.341880341880341"/>
  </r>
  <r>
    <s v="ORD1196"/>
    <x v="7"/>
    <x v="4"/>
    <x v="0"/>
    <x v="2"/>
    <n v="88"/>
    <n v="82"/>
    <n v="6"/>
    <n v="757"/>
    <n v="229"/>
    <n v="4"/>
    <n v="225267"/>
    <n v="204114"/>
    <n v="7"/>
    <n v="88"/>
    <n v="93.181818181818173"/>
  </r>
  <r>
    <s v="ORD1197"/>
    <x v="7"/>
    <x v="4"/>
    <x v="1"/>
    <x v="0"/>
    <n v="161"/>
    <n v="128"/>
    <n v="33"/>
    <n v="582"/>
    <n v="164"/>
    <n v="5"/>
    <n v="84257"/>
    <n v="84857"/>
    <n v="1"/>
    <n v="161"/>
    <n v="79.503105590062106"/>
  </r>
  <r>
    <s v="ORD1198"/>
    <x v="7"/>
    <x v="4"/>
    <x v="2"/>
    <x v="2"/>
    <n v="110"/>
    <n v="97"/>
    <n v="13"/>
    <n v="306"/>
    <n v="297"/>
    <n v="4"/>
    <n v="167167"/>
    <n v="157140"/>
    <n v="5"/>
    <n v="110"/>
    <n v="88.181818181818187"/>
  </r>
  <r>
    <s v="ORD1199"/>
    <x v="7"/>
    <x v="4"/>
    <x v="3"/>
    <x v="2"/>
    <n v="184"/>
    <n v="158"/>
    <n v="26"/>
    <n v="675"/>
    <n v="278"/>
    <n v="3"/>
    <n v="245605"/>
    <n v="234475"/>
    <n v="2"/>
    <n v="184"/>
    <n v="85.869565217391312"/>
  </r>
  <r>
    <s v="ORD1200"/>
    <x v="7"/>
    <x v="4"/>
    <x v="4"/>
    <x v="0"/>
    <n v="171"/>
    <n v="152"/>
    <n v="19"/>
    <n v="668"/>
    <n v="109"/>
    <n v="2"/>
    <n v="132845"/>
    <n v="121306"/>
    <n v="3"/>
    <n v="171"/>
    <n v="88.888888888888886"/>
  </r>
  <r>
    <s v="ORD1201"/>
    <x v="8"/>
    <x v="0"/>
    <x v="0"/>
    <x v="0"/>
    <n v="120"/>
    <n v="112"/>
    <n v="8"/>
    <n v="727"/>
    <n v="201"/>
    <n v="4"/>
    <n v="204098"/>
    <n v="199198"/>
    <n v="3"/>
    <n v="120"/>
    <n v="93.333333333333329"/>
  </r>
  <r>
    <s v="ORD1202"/>
    <x v="8"/>
    <x v="0"/>
    <x v="1"/>
    <x v="2"/>
    <n v="125"/>
    <n v="114"/>
    <n v="11"/>
    <n v="248"/>
    <n v="267"/>
    <n v="2"/>
    <n v="151622"/>
    <n v="142121"/>
    <n v="5"/>
    <n v="125"/>
    <n v="91.2"/>
  </r>
  <r>
    <s v="ORD1203"/>
    <x v="8"/>
    <x v="0"/>
    <x v="2"/>
    <x v="3"/>
    <n v="193"/>
    <n v="154"/>
    <n v="39"/>
    <n v="650"/>
    <n v="198"/>
    <n v="2"/>
    <n v="128973"/>
    <n v="135274"/>
    <n v="15"/>
    <n v="193"/>
    <n v="79.792746113989637"/>
  </r>
  <r>
    <s v="ORD1204"/>
    <x v="8"/>
    <x v="0"/>
    <x v="3"/>
    <x v="2"/>
    <n v="198"/>
    <n v="178"/>
    <n v="20"/>
    <n v="473"/>
    <n v="121"/>
    <n v="5"/>
    <n v="191280"/>
    <n v="176681"/>
    <n v="5"/>
    <n v="198"/>
    <n v="89.898989898989896"/>
  </r>
  <r>
    <s v="ORD1205"/>
    <x v="8"/>
    <x v="0"/>
    <x v="4"/>
    <x v="2"/>
    <n v="121"/>
    <n v="87"/>
    <n v="34"/>
    <n v="535"/>
    <n v="269"/>
    <n v="2"/>
    <n v="160346"/>
    <n v="165761"/>
    <n v="6"/>
    <n v="121"/>
    <n v="71.900826446281002"/>
  </r>
  <r>
    <s v="ORD1206"/>
    <x v="8"/>
    <x v="1"/>
    <x v="0"/>
    <x v="1"/>
    <n v="168"/>
    <n v="136"/>
    <n v="32"/>
    <n v="657"/>
    <n v="110"/>
    <n v="5"/>
    <n v="172421"/>
    <n v="186982"/>
    <n v="6"/>
    <n v="168"/>
    <n v="80.952380952380949"/>
  </r>
  <r>
    <s v="ORD1207"/>
    <x v="8"/>
    <x v="1"/>
    <x v="1"/>
    <x v="2"/>
    <n v="161"/>
    <n v="152"/>
    <n v="9"/>
    <n v="258"/>
    <n v="119"/>
    <n v="5"/>
    <n v="247120"/>
    <n v="252522"/>
    <n v="8"/>
    <n v="161"/>
    <n v="94.409937888198755"/>
  </r>
  <r>
    <s v="ORD1208"/>
    <x v="8"/>
    <x v="1"/>
    <x v="2"/>
    <x v="1"/>
    <n v="83"/>
    <n v="61"/>
    <n v="22"/>
    <n v="648"/>
    <n v="108"/>
    <n v="1"/>
    <n v="97624"/>
    <n v="94773"/>
    <n v="5"/>
    <n v="83"/>
    <n v="73.493975903614455"/>
  </r>
  <r>
    <s v="ORD1209"/>
    <x v="8"/>
    <x v="1"/>
    <x v="3"/>
    <x v="2"/>
    <n v="126"/>
    <n v="100"/>
    <n v="26"/>
    <n v="780"/>
    <n v="108"/>
    <n v="4"/>
    <n v="120222"/>
    <n v="132691"/>
    <n v="5"/>
    <n v="126"/>
    <n v="79.365079365079367"/>
  </r>
  <r>
    <s v="ORD1210"/>
    <x v="8"/>
    <x v="1"/>
    <x v="4"/>
    <x v="2"/>
    <n v="136"/>
    <n v="121"/>
    <n v="15"/>
    <n v="787"/>
    <n v="135"/>
    <n v="4"/>
    <n v="176193"/>
    <n v="179612"/>
    <n v="10"/>
    <n v="136"/>
    <n v="88.970588235294116"/>
  </r>
  <r>
    <s v="ORD1211"/>
    <x v="8"/>
    <x v="2"/>
    <x v="0"/>
    <x v="2"/>
    <n v="111"/>
    <n v="104"/>
    <n v="7"/>
    <n v="226"/>
    <n v="288"/>
    <n v="1"/>
    <n v="210821"/>
    <n v="222484"/>
    <n v="8"/>
    <n v="111"/>
    <n v="93.693693693693689"/>
  </r>
  <r>
    <s v="ORD1212"/>
    <x v="8"/>
    <x v="2"/>
    <x v="1"/>
    <x v="0"/>
    <n v="113"/>
    <n v="100"/>
    <n v="13"/>
    <n v="656"/>
    <n v="154"/>
    <n v="4"/>
    <n v="154862"/>
    <n v="171617"/>
    <n v="7"/>
    <n v="113"/>
    <n v="88.495575221238937"/>
  </r>
  <r>
    <s v="ORD1213"/>
    <x v="8"/>
    <x v="2"/>
    <x v="2"/>
    <x v="1"/>
    <n v="95"/>
    <n v="69"/>
    <n v="26"/>
    <n v="275"/>
    <n v="215"/>
    <n v="1"/>
    <n v="196683"/>
    <n v="235858"/>
    <n v="5"/>
    <n v="95"/>
    <n v="72.631578947368425"/>
  </r>
  <r>
    <s v="ORD1214"/>
    <x v="8"/>
    <x v="2"/>
    <x v="3"/>
    <x v="2"/>
    <n v="170"/>
    <n v="121"/>
    <n v="49"/>
    <n v="755"/>
    <n v="174"/>
    <n v="2"/>
    <n v="121289"/>
    <n v="135060"/>
    <n v="11"/>
    <n v="170"/>
    <n v="71.17647058823529"/>
  </r>
  <r>
    <s v="ORD1215"/>
    <x v="8"/>
    <x v="2"/>
    <x v="4"/>
    <x v="1"/>
    <n v="181"/>
    <n v="143"/>
    <n v="38"/>
    <n v="429"/>
    <n v="131"/>
    <n v="1"/>
    <n v="116405"/>
    <n v="113031"/>
    <n v="7"/>
    <n v="181"/>
    <n v="79.005524861878456"/>
  </r>
  <r>
    <s v="ORD1216"/>
    <x v="8"/>
    <x v="3"/>
    <x v="0"/>
    <x v="0"/>
    <n v="126"/>
    <n v="105"/>
    <n v="21"/>
    <n v="577"/>
    <n v="219"/>
    <n v="4"/>
    <n v="114018"/>
    <n v="123548"/>
    <n v="1"/>
    <n v="126"/>
    <n v="83.333333333333343"/>
  </r>
  <r>
    <s v="ORD1217"/>
    <x v="8"/>
    <x v="3"/>
    <x v="1"/>
    <x v="0"/>
    <n v="119"/>
    <n v="95"/>
    <n v="24"/>
    <n v="690"/>
    <n v="234"/>
    <n v="3"/>
    <n v="187330"/>
    <n v="214867"/>
    <n v="1"/>
    <n v="119"/>
    <n v="79.831932773109244"/>
  </r>
  <r>
    <s v="ORD1218"/>
    <x v="8"/>
    <x v="3"/>
    <x v="2"/>
    <x v="1"/>
    <n v="120"/>
    <n v="103"/>
    <n v="17"/>
    <n v="660"/>
    <n v="219"/>
    <n v="5"/>
    <n v="215622"/>
    <n v="216345"/>
    <n v="8"/>
    <n v="120"/>
    <n v="85.833333333333329"/>
  </r>
  <r>
    <s v="ORD1219"/>
    <x v="8"/>
    <x v="3"/>
    <x v="3"/>
    <x v="1"/>
    <n v="178"/>
    <n v="167"/>
    <n v="11"/>
    <n v="643"/>
    <n v="228"/>
    <n v="0"/>
    <n v="112548"/>
    <n v="118786"/>
    <n v="4"/>
    <n v="178"/>
    <n v="93.82022471910112"/>
  </r>
  <r>
    <s v="ORD1220"/>
    <x v="8"/>
    <x v="3"/>
    <x v="4"/>
    <x v="1"/>
    <n v="100"/>
    <n v="78"/>
    <n v="22"/>
    <n v="430"/>
    <n v="188"/>
    <n v="4"/>
    <n v="154461"/>
    <n v="178214"/>
    <n v="4"/>
    <n v="100"/>
    <n v="78"/>
  </r>
  <r>
    <s v="ORD1221"/>
    <x v="8"/>
    <x v="4"/>
    <x v="0"/>
    <x v="1"/>
    <n v="161"/>
    <n v="151"/>
    <n v="10"/>
    <n v="481"/>
    <n v="132"/>
    <n v="5"/>
    <n v="159383"/>
    <n v="172823"/>
    <n v="1"/>
    <n v="161"/>
    <n v="93.788819875776397"/>
  </r>
  <r>
    <s v="ORD1222"/>
    <x v="8"/>
    <x v="4"/>
    <x v="1"/>
    <x v="1"/>
    <n v="155"/>
    <n v="144"/>
    <n v="11"/>
    <n v="357"/>
    <n v="143"/>
    <n v="5"/>
    <n v="243703"/>
    <n v="272018"/>
    <n v="9"/>
    <n v="155"/>
    <n v="92.903225806451616"/>
  </r>
  <r>
    <s v="ORD1223"/>
    <x v="8"/>
    <x v="4"/>
    <x v="2"/>
    <x v="2"/>
    <n v="187"/>
    <n v="174"/>
    <n v="13"/>
    <n v="242"/>
    <n v="107"/>
    <n v="0"/>
    <n v="91917"/>
    <n v="108881"/>
    <n v="12"/>
    <n v="187"/>
    <n v="93.048128342245988"/>
  </r>
  <r>
    <s v="ORD1224"/>
    <x v="8"/>
    <x v="4"/>
    <x v="3"/>
    <x v="2"/>
    <n v="163"/>
    <n v="122"/>
    <n v="41"/>
    <n v="785"/>
    <n v="206"/>
    <n v="4"/>
    <n v="247507"/>
    <n v="225005"/>
    <n v="10"/>
    <n v="163"/>
    <n v="74.846625766871171"/>
  </r>
  <r>
    <s v="ORD1225"/>
    <x v="8"/>
    <x v="4"/>
    <x v="4"/>
    <x v="2"/>
    <n v="162"/>
    <n v="152"/>
    <n v="10"/>
    <n v="694"/>
    <n v="162"/>
    <n v="5"/>
    <n v="186454"/>
    <n v="184445"/>
    <n v="1"/>
    <n v="162"/>
    <n v="93.827160493827151"/>
  </r>
  <r>
    <s v="ORD1226"/>
    <x v="9"/>
    <x v="0"/>
    <x v="0"/>
    <x v="0"/>
    <n v="100"/>
    <n v="80"/>
    <n v="20"/>
    <n v="695"/>
    <n v="218"/>
    <n v="1"/>
    <n v="169179"/>
    <n v="183051"/>
    <n v="5"/>
    <n v="100"/>
    <n v="80"/>
  </r>
  <r>
    <s v="ORD1227"/>
    <x v="9"/>
    <x v="0"/>
    <x v="1"/>
    <x v="2"/>
    <n v="173"/>
    <n v="163"/>
    <n v="10"/>
    <n v="553"/>
    <n v="202"/>
    <n v="1"/>
    <n v="177134"/>
    <n v="186786"/>
    <n v="1"/>
    <n v="173"/>
    <n v="94.219653179190757"/>
  </r>
  <r>
    <s v="ORD1228"/>
    <x v="9"/>
    <x v="0"/>
    <x v="2"/>
    <x v="2"/>
    <n v="110"/>
    <n v="89"/>
    <n v="21"/>
    <n v="473"/>
    <n v="215"/>
    <n v="1"/>
    <n v="116930"/>
    <n v="108633"/>
    <n v="4"/>
    <n v="110"/>
    <n v="80.909090909090907"/>
  </r>
  <r>
    <s v="ORD1229"/>
    <x v="9"/>
    <x v="0"/>
    <x v="3"/>
    <x v="3"/>
    <n v="190"/>
    <n v="162"/>
    <n v="28"/>
    <n v="454"/>
    <n v="140"/>
    <n v="2"/>
    <n v="231437"/>
    <n v="258362"/>
    <n v="6"/>
    <n v="190"/>
    <n v="85.263157894736835"/>
  </r>
  <r>
    <s v="ORD1230"/>
    <x v="9"/>
    <x v="0"/>
    <x v="4"/>
    <x v="1"/>
    <n v="143"/>
    <n v="135"/>
    <n v="8"/>
    <n v="678"/>
    <n v="227"/>
    <n v="2"/>
    <n v="210382"/>
    <n v="190806"/>
    <n v="6"/>
    <n v="143"/>
    <n v="94.4055944055944"/>
  </r>
  <r>
    <s v="ORD1231"/>
    <x v="9"/>
    <x v="1"/>
    <x v="0"/>
    <x v="3"/>
    <n v="110"/>
    <n v="82"/>
    <n v="28"/>
    <n v="561"/>
    <n v="112"/>
    <n v="0"/>
    <n v="153755"/>
    <n v="161207"/>
    <n v="7"/>
    <n v="110"/>
    <n v="74.545454545454547"/>
  </r>
  <r>
    <s v="ORD1232"/>
    <x v="9"/>
    <x v="1"/>
    <x v="1"/>
    <x v="2"/>
    <n v="148"/>
    <n v="103"/>
    <n v="45"/>
    <n v="310"/>
    <n v="210"/>
    <n v="1"/>
    <n v="149329"/>
    <n v="166987"/>
    <n v="6"/>
    <n v="148"/>
    <n v="69.594594594594597"/>
  </r>
  <r>
    <s v="ORD1233"/>
    <x v="9"/>
    <x v="1"/>
    <x v="2"/>
    <x v="2"/>
    <n v="85"/>
    <n v="68"/>
    <n v="17"/>
    <n v="783"/>
    <n v="243"/>
    <n v="1"/>
    <n v="175033"/>
    <n v="186579"/>
    <n v="0"/>
    <n v="85"/>
    <n v="80"/>
  </r>
  <r>
    <s v="ORD1234"/>
    <x v="9"/>
    <x v="1"/>
    <x v="3"/>
    <x v="3"/>
    <n v="144"/>
    <n v="117"/>
    <n v="27"/>
    <n v="763"/>
    <n v="171"/>
    <n v="4"/>
    <n v="240181"/>
    <n v="224723"/>
    <n v="1"/>
    <n v="144"/>
    <n v="81.25"/>
  </r>
  <r>
    <s v="ORD1235"/>
    <x v="9"/>
    <x v="1"/>
    <x v="4"/>
    <x v="3"/>
    <n v="127"/>
    <n v="114"/>
    <n v="13"/>
    <n v="547"/>
    <n v="242"/>
    <n v="2"/>
    <n v="117818"/>
    <n v="113071"/>
    <n v="8"/>
    <n v="127"/>
    <n v="89.763779527559052"/>
  </r>
  <r>
    <s v="ORD1236"/>
    <x v="9"/>
    <x v="2"/>
    <x v="0"/>
    <x v="3"/>
    <n v="144"/>
    <n v="102"/>
    <n v="42"/>
    <n v="239"/>
    <n v="135"/>
    <n v="5"/>
    <n v="167304"/>
    <n v="190925"/>
    <n v="8"/>
    <n v="144"/>
    <n v="70.833333333333343"/>
  </r>
  <r>
    <s v="ORD1237"/>
    <x v="9"/>
    <x v="2"/>
    <x v="1"/>
    <x v="3"/>
    <n v="99"/>
    <n v="84"/>
    <n v="15"/>
    <n v="727"/>
    <n v="135"/>
    <n v="2"/>
    <n v="240712"/>
    <n v="239643"/>
    <n v="6"/>
    <n v="99"/>
    <n v="84.848484848484844"/>
  </r>
  <r>
    <s v="ORD1238"/>
    <x v="9"/>
    <x v="2"/>
    <x v="2"/>
    <x v="2"/>
    <n v="155"/>
    <n v="121"/>
    <n v="34"/>
    <n v="721"/>
    <n v="236"/>
    <n v="3"/>
    <n v="227567"/>
    <n v="225277"/>
    <n v="0"/>
    <n v="155"/>
    <n v="78.064516129032256"/>
  </r>
  <r>
    <s v="ORD1239"/>
    <x v="9"/>
    <x v="2"/>
    <x v="3"/>
    <x v="2"/>
    <n v="122"/>
    <n v="105"/>
    <n v="17"/>
    <n v="626"/>
    <n v="249"/>
    <n v="2"/>
    <n v="244956"/>
    <n v="222418"/>
    <n v="7"/>
    <n v="122"/>
    <n v="86.065573770491795"/>
  </r>
  <r>
    <s v="ORD1240"/>
    <x v="9"/>
    <x v="2"/>
    <x v="4"/>
    <x v="2"/>
    <n v="163"/>
    <n v="146"/>
    <n v="17"/>
    <n v="792"/>
    <n v="247"/>
    <n v="1"/>
    <n v="93462"/>
    <n v="100476"/>
    <n v="2"/>
    <n v="163"/>
    <n v="89.570552147239269"/>
  </r>
  <r>
    <s v="ORD1241"/>
    <x v="9"/>
    <x v="3"/>
    <x v="0"/>
    <x v="3"/>
    <n v="98"/>
    <n v="88"/>
    <n v="10"/>
    <n v="448"/>
    <n v="108"/>
    <n v="4"/>
    <n v="108808"/>
    <n v="104154"/>
    <n v="7"/>
    <n v="98"/>
    <n v="89.795918367346943"/>
  </r>
  <r>
    <s v="ORD1242"/>
    <x v="9"/>
    <x v="3"/>
    <x v="1"/>
    <x v="2"/>
    <n v="133"/>
    <n v="98"/>
    <n v="35"/>
    <n v="408"/>
    <n v="205"/>
    <n v="4"/>
    <n v="240295"/>
    <n v="282624"/>
    <n v="0"/>
    <n v="133"/>
    <n v="73.68421052631578"/>
  </r>
  <r>
    <s v="ORD1243"/>
    <x v="9"/>
    <x v="3"/>
    <x v="2"/>
    <x v="1"/>
    <n v="146"/>
    <n v="109"/>
    <n v="37"/>
    <n v="532"/>
    <n v="269"/>
    <n v="3"/>
    <n v="217750"/>
    <n v="220591"/>
    <n v="2"/>
    <n v="146"/>
    <n v="74.657534246575338"/>
  </r>
  <r>
    <s v="ORD1244"/>
    <x v="9"/>
    <x v="3"/>
    <x v="3"/>
    <x v="3"/>
    <n v="196"/>
    <n v="163"/>
    <n v="33"/>
    <n v="759"/>
    <n v="190"/>
    <n v="5"/>
    <n v="248639"/>
    <n v="283720"/>
    <n v="8"/>
    <n v="196"/>
    <n v="83.16326530612244"/>
  </r>
  <r>
    <s v="ORD1245"/>
    <x v="9"/>
    <x v="3"/>
    <x v="4"/>
    <x v="3"/>
    <n v="104"/>
    <n v="97"/>
    <n v="7"/>
    <n v="485"/>
    <n v="242"/>
    <n v="2"/>
    <n v="138947"/>
    <n v="164297"/>
    <n v="4"/>
    <n v="104"/>
    <n v="93.269230769230774"/>
  </r>
  <r>
    <s v="ORD1246"/>
    <x v="9"/>
    <x v="4"/>
    <x v="0"/>
    <x v="2"/>
    <n v="170"/>
    <n v="127"/>
    <n v="43"/>
    <n v="700"/>
    <n v="181"/>
    <n v="3"/>
    <n v="171436"/>
    <n v="183118"/>
    <n v="12"/>
    <n v="170"/>
    <n v="74.705882352941174"/>
  </r>
  <r>
    <s v="ORD1247"/>
    <x v="9"/>
    <x v="4"/>
    <x v="1"/>
    <x v="2"/>
    <n v="116"/>
    <n v="84"/>
    <n v="32"/>
    <n v="756"/>
    <n v="197"/>
    <n v="3"/>
    <n v="170474"/>
    <n v="202247"/>
    <n v="2"/>
    <n v="116"/>
    <n v="72.41379310344827"/>
  </r>
  <r>
    <s v="ORD1248"/>
    <x v="9"/>
    <x v="4"/>
    <x v="2"/>
    <x v="2"/>
    <n v="85"/>
    <n v="65"/>
    <n v="20"/>
    <n v="280"/>
    <n v="188"/>
    <n v="3"/>
    <n v="147225"/>
    <n v="165510"/>
    <n v="1"/>
    <n v="85"/>
    <n v="76.470588235294116"/>
  </r>
  <r>
    <s v="ORD1249"/>
    <x v="9"/>
    <x v="4"/>
    <x v="3"/>
    <x v="1"/>
    <n v="185"/>
    <n v="154"/>
    <n v="31"/>
    <n v="775"/>
    <n v="278"/>
    <n v="2"/>
    <n v="115985"/>
    <n v="108187"/>
    <n v="11"/>
    <n v="185"/>
    <n v="83.243243243243242"/>
  </r>
  <r>
    <s v="ORD1250"/>
    <x v="9"/>
    <x v="4"/>
    <x v="4"/>
    <x v="1"/>
    <n v="111"/>
    <n v="79"/>
    <n v="32"/>
    <n v="743"/>
    <n v="157"/>
    <n v="5"/>
    <n v="141036"/>
    <n v="129153"/>
    <n v="6"/>
    <n v="111"/>
    <n v="71.171171171171167"/>
  </r>
  <r>
    <s v="ORD1251"/>
    <x v="10"/>
    <x v="0"/>
    <x v="0"/>
    <x v="2"/>
    <n v="171"/>
    <n v="139"/>
    <n v="32"/>
    <n v="340"/>
    <n v="101"/>
    <n v="4"/>
    <n v="121403"/>
    <n v="124082"/>
    <n v="7"/>
    <n v="171"/>
    <n v="81.286549707602347"/>
  </r>
  <r>
    <s v="ORD1252"/>
    <x v="10"/>
    <x v="0"/>
    <x v="1"/>
    <x v="3"/>
    <n v="163"/>
    <n v="122"/>
    <n v="41"/>
    <n v="494"/>
    <n v="182"/>
    <n v="2"/>
    <n v="249318"/>
    <n v="228811"/>
    <n v="12"/>
    <n v="163"/>
    <n v="74.846625766871171"/>
  </r>
  <r>
    <s v="ORD1253"/>
    <x v="10"/>
    <x v="0"/>
    <x v="2"/>
    <x v="0"/>
    <n v="163"/>
    <n v="137"/>
    <n v="26"/>
    <n v="747"/>
    <n v="289"/>
    <n v="5"/>
    <n v="89777"/>
    <n v="105395"/>
    <n v="2"/>
    <n v="163"/>
    <n v="84.049079754601223"/>
  </r>
  <r>
    <s v="ORD1254"/>
    <x v="10"/>
    <x v="0"/>
    <x v="3"/>
    <x v="3"/>
    <n v="192"/>
    <n v="174"/>
    <n v="18"/>
    <n v="237"/>
    <n v="201"/>
    <n v="3"/>
    <n v="128840"/>
    <n v="152157"/>
    <n v="9"/>
    <n v="192"/>
    <n v="90.625"/>
  </r>
  <r>
    <s v="ORD1255"/>
    <x v="10"/>
    <x v="0"/>
    <x v="4"/>
    <x v="0"/>
    <n v="81"/>
    <n v="62"/>
    <n v="19"/>
    <n v="309"/>
    <n v="185"/>
    <n v="2"/>
    <n v="199104"/>
    <n v="238273"/>
    <n v="4"/>
    <n v="81"/>
    <n v="76.543209876543202"/>
  </r>
  <r>
    <s v="ORD1256"/>
    <x v="10"/>
    <x v="1"/>
    <x v="0"/>
    <x v="3"/>
    <n v="193"/>
    <n v="180"/>
    <n v="13"/>
    <n v="716"/>
    <n v="219"/>
    <n v="2"/>
    <n v="130544"/>
    <n v="149165"/>
    <n v="10"/>
    <n v="193"/>
    <n v="93.264248704663217"/>
  </r>
  <r>
    <s v="ORD1257"/>
    <x v="10"/>
    <x v="1"/>
    <x v="1"/>
    <x v="1"/>
    <n v="173"/>
    <n v="140"/>
    <n v="33"/>
    <n v="463"/>
    <n v="283"/>
    <n v="1"/>
    <n v="83692"/>
    <n v="93817"/>
    <n v="12"/>
    <n v="173"/>
    <n v="80.924855491329481"/>
  </r>
  <r>
    <s v="ORD1258"/>
    <x v="10"/>
    <x v="1"/>
    <x v="2"/>
    <x v="2"/>
    <n v="152"/>
    <n v="132"/>
    <n v="20"/>
    <n v="397"/>
    <n v="144"/>
    <n v="4"/>
    <n v="247438"/>
    <n v="289282"/>
    <n v="6"/>
    <n v="152"/>
    <n v="86.842105263157904"/>
  </r>
  <r>
    <s v="ORD1259"/>
    <x v="10"/>
    <x v="1"/>
    <x v="3"/>
    <x v="2"/>
    <n v="91"/>
    <n v="72"/>
    <n v="19"/>
    <n v="297"/>
    <n v="147"/>
    <n v="1"/>
    <n v="205161"/>
    <n v="204562"/>
    <n v="3"/>
    <n v="91"/>
    <n v="79.120879120879124"/>
  </r>
  <r>
    <s v="ORD1260"/>
    <x v="10"/>
    <x v="1"/>
    <x v="4"/>
    <x v="0"/>
    <n v="113"/>
    <n v="89"/>
    <n v="24"/>
    <n v="657"/>
    <n v="292"/>
    <n v="2"/>
    <n v="166409"/>
    <n v="164842"/>
    <n v="9"/>
    <n v="113"/>
    <n v="78.761061946902657"/>
  </r>
  <r>
    <s v="ORD1261"/>
    <x v="10"/>
    <x v="2"/>
    <x v="0"/>
    <x v="0"/>
    <n v="113"/>
    <n v="97"/>
    <n v="16"/>
    <n v="441"/>
    <n v="115"/>
    <n v="5"/>
    <n v="110991"/>
    <n v="115388"/>
    <n v="2"/>
    <n v="113"/>
    <n v="85.840707964601776"/>
  </r>
  <r>
    <s v="ORD1262"/>
    <x v="10"/>
    <x v="2"/>
    <x v="1"/>
    <x v="3"/>
    <n v="167"/>
    <n v="137"/>
    <n v="30"/>
    <n v="518"/>
    <n v="276"/>
    <n v="0"/>
    <n v="247434"/>
    <n v="290695"/>
    <n v="4"/>
    <n v="167"/>
    <n v="82.035928143712582"/>
  </r>
  <r>
    <s v="ORD1263"/>
    <x v="10"/>
    <x v="2"/>
    <x v="2"/>
    <x v="2"/>
    <n v="158"/>
    <n v="119"/>
    <n v="39"/>
    <n v="336"/>
    <n v="222"/>
    <n v="1"/>
    <n v="199269"/>
    <n v="224042"/>
    <n v="9"/>
    <n v="158"/>
    <n v="75.316455696202539"/>
  </r>
  <r>
    <s v="ORD1264"/>
    <x v="10"/>
    <x v="2"/>
    <x v="3"/>
    <x v="2"/>
    <n v="133"/>
    <n v="116"/>
    <n v="17"/>
    <n v="682"/>
    <n v="293"/>
    <n v="4"/>
    <n v="137255"/>
    <n v="154900"/>
    <n v="10"/>
    <n v="133"/>
    <n v="87.218045112781951"/>
  </r>
  <r>
    <s v="ORD1265"/>
    <x v="10"/>
    <x v="2"/>
    <x v="4"/>
    <x v="0"/>
    <n v="147"/>
    <n v="119"/>
    <n v="28"/>
    <n v="570"/>
    <n v="119"/>
    <n v="4"/>
    <n v="109414"/>
    <n v="100499"/>
    <n v="8"/>
    <n v="147"/>
    <n v="80.952380952380949"/>
  </r>
  <r>
    <s v="ORD1266"/>
    <x v="10"/>
    <x v="3"/>
    <x v="0"/>
    <x v="1"/>
    <n v="153"/>
    <n v="127"/>
    <n v="26"/>
    <n v="368"/>
    <n v="183"/>
    <n v="4"/>
    <n v="195825"/>
    <n v="183071"/>
    <n v="3"/>
    <n v="153"/>
    <n v="83.006535947712422"/>
  </r>
  <r>
    <s v="ORD1267"/>
    <x v="10"/>
    <x v="3"/>
    <x v="1"/>
    <x v="3"/>
    <n v="91"/>
    <n v="84"/>
    <n v="7"/>
    <n v="656"/>
    <n v="114"/>
    <n v="3"/>
    <n v="114588"/>
    <n v="120772"/>
    <n v="7"/>
    <n v="91"/>
    <n v="92.307692307692307"/>
  </r>
  <r>
    <s v="ORD1268"/>
    <x v="10"/>
    <x v="3"/>
    <x v="2"/>
    <x v="0"/>
    <n v="151"/>
    <n v="123"/>
    <n v="28"/>
    <n v="515"/>
    <n v="285"/>
    <n v="0"/>
    <n v="183795"/>
    <n v="179445"/>
    <n v="0"/>
    <n v="151"/>
    <n v="81.456953642384107"/>
  </r>
  <r>
    <s v="ORD1269"/>
    <x v="10"/>
    <x v="3"/>
    <x v="3"/>
    <x v="1"/>
    <n v="154"/>
    <n v="110"/>
    <n v="44"/>
    <n v="633"/>
    <n v="188"/>
    <n v="5"/>
    <n v="96714"/>
    <n v="102744"/>
    <n v="0"/>
    <n v="154"/>
    <n v="71.428571428571431"/>
  </r>
  <r>
    <s v="ORD1270"/>
    <x v="10"/>
    <x v="3"/>
    <x v="4"/>
    <x v="0"/>
    <n v="199"/>
    <n v="162"/>
    <n v="37"/>
    <n v="493"/>
    <n v="204"/>
    <n v="1"/>
    <n v="115501"/>
    <n v="130487"/>
    <n v="13"/>
    <n v="199"/>
    <n v="81.4070351758794"/>
  </r>
  <r>
    <s v="ORD1271"/>
    <x v="10"/>
    <x v="4"/>
    <x v="0"/>
    <x v="2"/>
    <n v="194"/>
    <n v="154"/>
    <n v="40"/>
    <n v="586"/>
    <n v="196"/>
    <n v="0"/>
    <n v="221374"/>
    <n v="208068"/>
    <n v="11"/>
    <n v="194"/>
    <n v="79.381443298969074"/>
  </r>
  <r>
    <s v="ORD1272"/>
    <x v="10"/>
    <x v="4"/>
    <x v="1"/>
    <x v="0"/>
    <n v="102"/>
    <n v="96"/>
    <n v="6"/>
    <n v="602"/>
    <n v="235"/>
    <n v="1"/>
    <n v="138376"/>
    <n v="159194"/>
    <n v="0"/>
    <n v="102"/>
    <n v="94.117647058823522"/>
  </r>
  <r>
    <s v="ORD1273"/>
    <x v="10"/>
    <x v="4"/>
    <x v="2"/>
    <x v="2"/>
    <n v="139"/>
    <n v="120"/>
    <n v="19"/>
    <n v="757"/>
    <n v="208"/>
    <n v="4"/>
    <n v="179425"/>
    <n v="205801"/>
    <n v="3"/>
    <n v="139"/>
    <n v="86.330935251798564"/>
  </r>
  <r>
    <s v="ORD1274"/>
    <x v="10"/>
    <x v="4"/>
    <x v="3"/>
    <x v="3"/>
    <n v="124"/>
    <n v="91"/>
    <n v="33"/>
    <n v="393"/>
    <n v="285"/>
    <n v="0"/>
    <n v="88445"/>
    <n v="101078"/>
    <n v="6"/>
    <n v="124"/>
    <n v="73.387096774193552"/>
  </r>
  <r>
    <s v="ORD1275"/>
    <x v="10"/>
    <x v="4"/>
    <x v="4"/>
    <x v="0"/>
    <n v="110"/>
    <n v="82"/>
    <n v="28"/>
    <n v="303"/>
    <n v="252"/>
    <n v="0"/>
    <n v="197031"/>
    <n v="212662"/>
    <n v="0"/>
    <n v="110"/>
    <n v="74.545454545454547"/>
  </r>
  <r>
    <s v="ORD1276"/>
    <x v="11"/>
    <x v="0"/>
    <x v="0"/>
    <x v="1"/>
    <n v="174"/>
    <n v="123"/>
    <n v="51"/>
    <n v="649"/>
    <n v="159"/>
    <n v="4"/>
    <n v="136955"/>
    <n v="154254"/>
    <n v="12"/>
    <n v="174"/>
    <n v="70.689655172413794"/>
  </r>
  <r>
    <s v="ORD1277"/>
    <x v="11"/>
    <x v="0"/>
    <x v="1"/>
    <x v="0"/>
    <n v="97"/>
    <n v="80"/>
    <n v="17"/>
    <n v="496"/>
    <n v="159"/>
    <n v="5"/>
    <n v="231023"/>
    <n v="230022"/>
    <n v="5"/>
    <n v="97"/>
    <n v="82.474226804123703"/>
  </r>
  <r>
    <s v="ORD1278"/>
    <x v="11"/>
    <x v="0"/>
    <x v="2"/>
    <x v="1"/>
    <n v="118"/>
    <n v="108"/>
    <n v="10"/>
    <n v="733"/>
    <n v="156"/>
    <n v="3"/>
    <n v="158774"/>
    <n v="156002"/>
    <n v="8"/>
    <n v="118"/>
    <n v="91.525423728813564"/>
  </r>
  <r>
    <s v="ORD1279"/>
    <x v="11"/>
    <x v="0"/>
    <x v="3"/>
    <x v="1"/>
    <n v="160"/>
    <n v="139"/>
    <n v="21"/>
    <n v="769"/>
    <n v="226"/>
    <n v="0"/>
    <n v="170286"/>
    <n v="201359"/>
    <n v="10"/>
    <n v="160"/>
    <n v="86.875"/>
  </r>
  <r>
    <s v="ORD1280"/>
    <x v="11"/>
    <x v="0"/>
    <x v="4"/>
    <x v="3"/>
    <n v="180"/>
    <n v="149"/>
    <n v="31"/>
    <n v="626"/>
    <n v="204"/>
    <n v="1"/>
    <n v="158613"/>
    <n v="160665"/>
    <n v="12"/>
    <n v="180"/>
    <n v="82.777777777777771"/>
  </r>
  <r>
    <s v="ORD1281"/>
    <x v="11"/>
    <x v="1"/>
    <x v="0"/>
    <x v="3"/>
    <n v="110"/>
    <n v="100"/>
    <n v="10"/>
    <n v="507"/>
    <n v="281"/>
    <n v="1"/>
    <n v="201379"/>
    <n v="236503"/>
    <n v="8"/>
    <n v="110"/>
    <n v="90.909090909090907"/>
  </r>
  <r>
    <s v="ORD1282"/>
    <x v="11"/>
    <x v="1"/>
    <x v="1"/>
    <x v="3"/>
    <n v="133"/>
    <n v="111"/>
    <n v="22"/>
    <n v="337"/>
    <n v="199"/>
    <n v="1"/>
    <n v="146845"/>
    <n v="141118"/>
    <n v="10"/>
    <n v="133"/>
    <n v="83.458646616541358"/>
  </r>
  <r>
    <s v="ORD1283"/>
    <x v="11"/>
    <x v="1"/>
    <x v="2"/>
    <x v="0"/>
    <n v="198"/>
    <n v="160"/>
    <n v="38"/>
    <n v="579"/>
    <n v="123"/>
    <n v="4"/>
    <n v="129933"/>
    <n v="118948"/>
    <n v="12"/>
    <n v="198"/>
    <n v="80.808080808080803"/>
  </r>
  <r>
    <s v="ORD1284"/>
    <x v="11"/>
    <x v="1"/>
    <x v="3"/>
    <x v="0"/>
    <n v="191"/>
    <n v="137"/>
    <n v="54"/>
    <n v="772"/>
    <n v="155"/>
    <n v="3"/>
    <n v="134759"/>
    <n v="156433"/>
    <n v="10"/>
    <n v="191"/>
    <n v="71.727748691099478"/>
  </r>
  <r>
    <s v="ORD1285"/>
    <x v="11"/>
    <x v="1"/>
    <x v="4"/>
    <x v="2"/>
    <n v="196"/>
    <n v="137"/>
    <n v="59"/>
    <n v="394"/>
    <n v="289"/>
    <n v="0"/>
    <n v="205546"/>
    <n v="241379"/>
    <n v="6"/>
    <n v="196"/>
    <n v="69.897959183673478"/>
  </r>
  <r>
    <s v="ORD1286"/>
    <x v="11"/>
    <x v="2"/>
    <x v="0"/>
    <x v="3"/>
    <n v="197"/>
    <n v="149"/>
    <n v="48"/>
    <n v="529"/>
    <n v="298"/>
    <n v="2"/>
    <n v="179788"/>
    <n v="186957"/>
    <n v="11"/>
    <n v="197"/>
    <n v="75.634517766497467"/>
  </r>
  <r>
    <s v="ORD1287"/>
    <x v="11"/>
    <x v="2"/>
    <x v="1"/>
    <x v="2"/>
    <n v="113"/>
    <n v="89"/>
    <n v="24"/>
    <n v="709"/>
    <n v="219"/>
    <n v="0"/>
    <n v="203074"/>
    <n v="229166"/>
    <n v="5"/>
    <n v="113"/>
    <n v="78.761061946902657"/>
  </r>
  <r>
    <s v="ORD1288"/>
    <x v="11"/>
    <x v="2"/>
    <x v="2"/>
    <x v="1"/>
    <n v="127"/>
    <n v="98"/>
    <n v="29"/>
    <n v="246"/>
    <n v="244"/>
    <n v="1"/>
    <n v="118252"/>
    <n v="107002"/>
    <n v="8"/>
    <n v="127"/>
    <n v="77.165354330708652"/>
  </r>
  <r>
    <s v="ORD1289"/>
    <x v="11"/>
    <x v="2"/>
    <x v="3"/>
    <x v="3"/>
    <n v="117"/>
    <n v="86"/>
    <n v="31"/>
    <n v="537"/>
    <n v="158"/>
    <n v="3"/>
    <n v="229366"/>
    <n v="263772"/>
    <n v="7"/>
    <n v="117"/>
    <n v="73.504273504273513"/>
  </r>
  <r>
    <s v="ORD1290"/>
    <x v="11"/>
    <x v="2"/>
    <x v="4"/>
    <x v="2"/>
    <n v="112"/>
    <n v="99"/>
    <n v="13"/>
    <n v="700"/>
    <n v="285"/>
    <n v="5"/>
    <n v="208606"/>
    <n v="216584"/>
    <n v="5"/>
    <n v="112"/>
    <n v="88.392857142857139"/>
  </r>
  <r>
    <s v="ORD1291"/>
    <x v="11"/>
    <x v="3"/>
    <x v="0"/>
    <x v="1"/>
    <n v="97"/>
    <n v="85"/>
    <n v="12"/>
    <n v="700"/>
    <n v="147"/>
    <n v="4"/>
    <n v="248246"/>
    <n v="294710"/>
    <n v="0"/>
    <n v="97"/>
    <n v="87.628865979381445"/>
  </r>
  <r>
    <s v="ORD1292"/>
    <x v="11"/>
    <x v="3"/>
    <x v="1"/>
    <x v="0"/>
    <n v="200"/>
    <n v="180"/>
    <n v="20"/>
    <n v="249"/>
    <n v="295"/>
    <n v="0"/>
    <n v="188106"/>
    <n v="177054"/>
    <n v="7"/>
    <n v="200"/>
    <n v="90"/>
  </r>
  <r>
    <s v="ORD1293"/>
    <x v="11"/>
    <x v="3"/>
    <x v="2"/>
    <x v="0"/>
    <n v="170"/>
    <n v="125"/>
    <n v="45"/>
    <n v="423"/>
    <n v="229"/>
    <n v="3"/>
    <n v="177832"/>
    <n v="163273"/>
    <n v="10"/>
    <n v="170"/>
    <n v="73.529411764705884"/>
  </r>
  <r>
    <s v="ORD1294"/>
    <x v="11"/>
    <x v="3"/>
    <x v="3"/>
    <x v="3"/>
    <n v="164"/>
    <n v="134"/>
    <n v="30"/>
    <n v="206"/>
    <n v="236"/>
    <n v="4"/>
    <n v="187829"/>
    <n v="169713"/>
    <n v="8"/>
    <n v="164"/>
    <n v="81.707317073170728"/>
  </r>
  <r>
    <s v="ORD1295"/>
    <x v="11"/>
    <x v="3"/>
    <x v="4"/>
    <x v="2"/>
    <n v="148"/>
    <n v="139"/>
    <n v="9"/>
    <n v="217"/>
    <n v="228"/>
    <n v="5"/>
    <n v="192872"/>
    <n v="220230"/>
    <n v="2"/>
    <n v="148"/>
    <n v="93.918918918918919"/>
  </r>
  <r>
    <s v="ORD1296"/>
    <x v="11"/>
    <x v="4"/>
    <x v="0"/>
    <x v="0"/>
    <n v="197"/>
    <n v="142"/>
    <n v="55"/>
    <n v="352"/>
    <n v="161"/>
    <n v="1"/>
    <n v="242471"/>
    <n v="256518"/>
    <n v="11"/>
    <n v="197"/>
    <n v="72.081218274111677"/>
  </r>
  <r>
    <s v="ORD1297"/>
    <x v="11"/>
    <x v="4"/>
    <x v="1"/>
    <x v="2"/>
    <n v="181"/>
    <n v="144"/>
    <n v="37"/>
    <n v="582"/>
    <n v="203"/>
    <n v="3"/>
    <n v="228111"/>
    <n v="221943"/>
    <n v="11"/>
    <n v="181"/>
    <n v="79.55801104972376"/>
  </r>
  <r>
    <s v="ORD1298"/>
    <x v="11"/>
    <x v="4"/>
    <x v="2"/>
    <x v="1"/>
    <n v="118"/>
    <n v="102"/>
    <n v="16"/>
    <n v="282"/>
    <n v="267"/>
    <n v="5"/>
    <n v="88305"/>
    <n v="81951"/>
    <n v="6"/>
    <n v="118"/>
    <n v="86.440677966101703"/>
  </r>
  <r>
    <s v="ORD1299"/>
    <x v="11"/>
    <x v="4"/>
    <x v="3"/>
    <x v="3"/>
    <n v="150"/>
    <n v="122"/>
    <n v="28"/>
    <n v="209"/>
    <n v="279"/>
    <n v="1"/>
    <n v="101675"/>
    <n v="106754"/>
    <n v="6"/>
    <n v="150"/>
    <n v="81.333333333333329"/>
  </r>
  <r>
    <s v="ORD1300"/>
    <x v="11"/>
    <x v="4"/>
    <x v="4"/>
    <x v="2"/>
    <n v="152"/>
    <n v="143"/>
    <n v="9"/>
    <n v="297"/>
    <n v="235"/>
    <n v="0"/>
    <n v="140231"/>
    <n v="135102"/>
    <n v="11"/>
    <n v="152"/>
    <n v="94.0789473684210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DF917-2479-49B4-9022-9191076B9225}"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4:B59" firstHeaderRow="1" firstDataRow="1" firstDataCol="1"/>
  <pivotFields count="16">
    <pivotField showAll="0"/>
    <pivotField showAll="0">
      <items count="13">
        <item x="0"/>
        <item x="1"/>
        <item x="2"/>
        <item x="3"/>
        <item x="4"/>
        <item x="5"/>
        <item x="6"/>
        <item x="7"/>
        <item x="8"/>
        <item x="9"/>
        <item x="10"/>
        <item x="11"/>
        <item t="default"/>
      </items>
    </pivotField>
    <pivotField showAll="0">
      <items count="6">
        <item x="1"/>
        <item x="2"/>
        <item x="3"/>
        <item x="0"/>
        <item x="4"/>
        <item t="default"/>
      </items>
    </pivotField>
    <pivotField showAll="0">
      <items count="6">
        <item x="2"/>
        <item x="4"/>
        <item x="0"/>
        <item x="1"/>
        <item x="3"/>
        <item t="default"/>
      </items>
    </pivotField>
    <pivotField axis="axisRow" showAll="0">
      <items count="5">
        <item x="2"/>
        <item x="0"/>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Orders_Placed" fld="5" baseField="0" baseItem="0"/>
  </dataFields>
  <chartFormats count="6">
    <chartFormat chart="11"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4A323-2DD6-47F1-A8D9-A49C4CE4FCCB}"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C36" firstHeaderRow="0" firstDataRow="1" firstDataCol="1"/>
  <pivotFields count="16">
    <pivotField showAll="0"/>
    <pivotField showAll="0">
      <items count="13">
        <item x="0"/>
        <item x="1"/>
        <item x="2"/>
        <item x="3"/>
        <item x="4"/>
        <item x="5"/>
        <item x="6"/>
        <item x="7"/>
        <item x="8"/>
        <item x="9"/>
        <item x="10"/>
        <item x="11"/>
        <item t="default"/>
      </items>
    </pivotField>
    <pivotField showAll="0">
      <items count="6">
        <item x="1"/>
        <item x="2"/>
        <item x="3"/>
        <item x="0"/>
        <item x="4"/>
        <item t="default"/>
      </items>
    </pivotField>
    <pivotField axis="axisRow" showAll="0">
      <items count="6">
        <item x="2"/>
        <item x="4"/>
        <item x="0"/>
        <item x="1"/>
        <item x="3"/>
        <item t="default"/>
      </items>
    </pivotField>
    <pivotField showAll="0">
      <items count="5">
        <item x="2"/>
        <item x="0"/>
        <item x="1"/>
        <item x="3"/>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Procurement_Cost_INR" fld="11" baseField="0" baseItem="0"/>
    <dataField name="Sum of Budget_INR" fld="1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059173-D622-4E2B-AB45-36D8BE4B2A59}"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7" firstHeaderRow="0" firstDataRow="1" firstDataCol="1"/>
  <pivotFields count="16">
    <pivotField showAll="0"/>
    <pivotField showAll="0">
      <items count="13">
        <item x="0"/>
        <item x="1"/>
        <item x="2"/>
        <item x="3"/>
        <item x="4"/>
        <item x="5"/>
        <item x="6"/>
        <item x="7"/>
        <item x="8"/>
        <item x="9"/>
        <item x="10"/>
        <item x="11"/>
        <item t="default"/>
      </items>
    </pivotField>
    <pivotField axis="axisRow" showAll="0">
      <items count="6">
        <item x="1"/>
        <item x="2"/>
        <item x="3"/>
        <item x="0"/>
        <item x="4"/>
        <item t="default"/>
      </items>
    </pivotField>
    <pivotField showAll="0">
      <items count="6">
        <item x="2"/>
        <item x="4"/>
        <item x="0"/>
        <item x="1"/>
        <item x="3"/>
        <item t="default"/>
      </items>
    </pivotField>
    <pivotField showAll="0">
      <items count="5">
        <item x="2"/>
        <item x="0"/>
        <item x="1"/>
        <item x="3"/>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Sum of Orders_Placed" fld="5" baseField="0" baseItem="0"/>
    <dataField name="Sum of Orders_Delivered_OnTime" fld="6" baseField="0" baseItem="0"/>
    <dataField name="Sum of Orders_Delayed" fld="7"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FC4D93-8F11-4B25-99F4-376845277F0F}"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6" firstHeaderRow="0" firstDataRow="1" firstDataCol="1"/>
  <pivotFields count="16">
    <pivotField showAll="0"/>
    <pivotField axis="axisRow" showAll="0">
      <items count="13">
        <item x="0"/>
        <item x="1"/>
        <item x="2"/>
        <item x="3"/>
        <item x="4"/>
        <item x="5"/>
        <item x="6"/>
        <item x="7"/>
        <item x="8"/>
        <item x="9"/>
        <item x="10"/>
        <item x="11"/>
        <item t="default"/>
      </items>
    </pivotField>
    <pivotField showAll="0">
      <items count="6">
        <item x="1"/>
        <item x="2"/>
        <item x="3"/>
        <item x="0"/>
        <item x="4"/>
        <item t="default"/>
      </items>
    </pivotField>
    <pivotField showAll="0">
      <items count="6">
        <item x="2"/>
        <item x="4"/>
        <item x="0"/>
        <item x="1"/>
        <item x="3"/>
        <item t="default"/>
      </items>
    </pivotField>
    <pivotField showAll="0">
      <items count="5">
        <item x="2"/>
        <item x="0"/>
        <item x="1"/>
        <item x="3"/>
        <item t="default"/>
      </items>
    </pivotField>
    <pivotField dataField="1" showAll="0"/>
    <pivotField dataField="1" showAll="0"/>
    <pivotField showAll="0"/>
    <pivotField showAll="0"/>
    <pivotField showAll="0"/>
    <pivotField showAll="0"/>
    <pivotField showAll="0"/>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Orders_Placed" fld="5" baseField="0" baseItem="0"/>
    <dataField name="Sum of Orders_Delivered_OnTime" fld="6" baseField="0" baseItem="0"/>
    <dataField name="Average of OTIF%" fld="15" subtotal="average" baseField="1" baseItem="5"/>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CBDF810-576A-4033-8091-9B592762C96E}" sourceName="Month">
  <pivotTables>
    <pivotTable tabId="4" name="PivotTable3"/>
    <pivotTable tabId="4" name="PivotTable2"/>
    <pivotTable tabId="4" name="PivotTable4"/>
    <pivotTable tabId="4" name="PivotTable5"/>
  </pivotTables>
  <data>
    <tabular pivotCacheId="25939689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AA1A87E7-3275-4106-9FE7-4AED84B6CE51}" sourceName="Vendor">
  <pivotTables>
    <pivotTable tabId="4" name="PivotTable3"/>
    <pivotTable tabId="4" name="PivotTable2"/>
    <pivotTable tabId="4" name="PivotTable4"/>
    <pivotTable tabId="4" name="PivotTable5"/>
  </pivotTables>
  <data>
    <tabular pivotCacheId="259396895">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E27CD6-7DE3-4AE7-ADCC-8F365D470355}" sourceName="Category">
  <pivotTables>
    <pivotTable tabId="4" name="PivotTable3"/>
    <pivotTable tabId="4" name="PivotTable2"/>
    <pivotTable tabId="4" name="PivotTable4"/>
    <pivotTable tabId="4" name="PivotTable5"/>
  </pivotTables>
  <data>
    <tabular pivotCacheId="259396895">
      <items count="5">
        <i x="2" s="1"/>
        <i x="4"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B27056-5598-46E7-84C9-DCA32DC9E271}" sourceName="Region">
  <pivotTables>
    <pivotTable tabId="4" name="PivotTable3"/>
    <pivotTable tabId="4" name="PivotTable2"/>
    <pivotTable tabId="4" name="PivotTable4"/>
    <pivotTable tabId="4" name="PivotTable5"/>
  </pivotTables>
  <data>
    <tabular pivotCacheId="25939689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65A46DA-F90E-4B4C-887C-003F1ADDE5D7}" cache="Slicer_Month" caption="Month" rowHeight="234950"/>
  <slicer name="Vendor" xr10:uid="{49DD4A22-7A8C-41AB-AD21-6B70808B78AA}" cache="Slicer_Vendor" caption="Vendor" rowHeight="234950"/>
  <slicer name="Category" xr10:uid="{6680BE6E-030E-4547-89B9-92CB5C6133BF}" cache="Slicer_Category" caption="Category" rowHeight="234950"/>
  <slicer name="Region" xr10:uid="{3CC0A122-C05D-470F-BA08-565EBBA1B48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F1957CE-C127-415D-A35E-02E1D807CD2E}" cache="Slicer_Month" caption="Month" rowHeight="234950"/>
  <slicer name="Vendor 1" xr10:uid="{D4EABCB7-28E4-402F-ACBC-B11DC91A89BB}" cache="Slicer_Vendor" caption="Vendor" rowHeight="234950"/>
  <slicer name="Category 1" xr10:uid="{92DB8799-FAA3-43FD-BB87-907F7CFF27E0}" cache="Slicer_Category" caption="Category" rowHeight="234950"/>
  <slicer name="Region 1" xr10:uid="{EF0879E3-2F53-4A38-BC58-3B690A2339B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6A679-C0FA-4E01-9106-C5F6D7718D1B}" name="kip" displayName="kip" ref="A1:P302" totalsRowCount="1" headerRowDxfId="18" dataDxfId="19" headerRowBorderDxfId="36" tableBorderDxfId="37" totalsRowBorderDxfId="35">
  <autoFilter ref="A1:P301" xr:uid="{9186A679-C0FA-4E01-9106-C5F6D7718D1B}"/>
  <tableColumns count="16">
    <tableColumn id="1" xr3:uid="{125D3970-3912-4A4D-9EC6-1869243356BE}" name="Order_ID" dataDxfId="34" totalsRowDxfId="15"/>
    <tableColumn id="2" xr3:uid="{C40FCBD9-D5DA-4778-B50A-198BE5F6EF9B}" name="Month" dataDxfId="33" totalsRowDxfId="14"/>
    <tableColumn id="3" xr3:uid="{67BBD53D-E45F-470D-8312-CD1F0C581540}" name="Vendor" dataDxfId="32" totalsRowDxfId="13"/>
    <tableColumn id="4" xr3:uid="{DA286B7B-9DEB-458C-9ACF-D44E47552152}" name="Category" dataDxfId="31" totalsRowDxfId="12"/>
    <tableColumn id="5" xr3:uid="{152DD360-E7E0-4B5E-A12C-9735963EDB28}" name="Region" dataDxfId="30" totalsRowDxfId="11"/>
    <tableColumn id="6" xr3:uid="{69CB3CDA-EF7C-4E32-8006-2C00309716F2}" name="Orders_Placed" totalsRowFunction="sum" dataDxfId="29" totalsRowDxfId="10"/>
    <tableColumn id="7" xr3:uid="{3BFB8EC3-50F7-4CC0-9061-A3816C5089FB}" name="Orders_Delivered_OnTime" totalsRowFunction="sum" dataDxfId="28" totalsRowDxfId="9"/>
    <tableColumn id="8" xr3:uid="{44C0BDEC-CF50-49B8-9E68-D26D74776833}" name="Orders_Delayed" totalsRowFunction="sum" dataDxfId="27" totalsRowDxfId="8"/>
    <tableColumn id="9" xr3:uid="{6605BB7A-410B-4A05-9613-8A6ABDE3BC3E}" name="Inventory_Level" totalsRowFunction="sum" dataDxfId="26" totalsRowDxfId="7"/>
    <tableColumn id="10" xr3:uid="{20F0D380-57D0-461F-9F13-C6D5ECD47FDE}" name="Reorder_Point" totalsRowFunction="sum" dataDxfId="25" totalsRowDxfId="6"/>
    <tableColumn id="11" xr3:uid="{91FADE41-0B29-430D-8760-DB51CF741FC5}" name="Stockout_Days" totalsRowFunction="sum" dataDxfId="24" totalsRowDxfId="5"/>
    <tableColumn id="12" xr3:uid="{1D08A0E5-5A1F-47FA-9853-FA56A788C219}" name="Procurement_Cost_INR" totalsRowFunction="sum" dataDxfId="23" totalsRowDxfId="4"/>
    <tableColumn id="13" xr3:uid="{135A9DE6-5C73-4765-A5F1-4326890DACA6}" name="Budget_INR" totalsRowFunction="sum" dataDxfId="22" totalsRowDxfId="3"/>
    <tableColumn id="14" xr3:uid="{ED1D51DA-9ED8-41D0-9DAA-CD8721BE7394}" name="Defect_Units" totalsRowFunction="sum" dataDxfId="21" totalsRowDxfId="2"/>
    <tableColumn id="15" xr3:uid="{DE3D3E83-81E9-4FDF-ADAE-CBAEEA9AFD78}" name="Total_Units" totalsRowFunction="sum" dataDxfId="20" totalsRowDxfId="1"/>
    <tableColumn id="16" xr3:uid="{D2716474-1EFC-455E-90EC-947E2F217E86}" name="OTIF%" dataDxfId="16" totalsRowDxfId="0">
      <calculatedColumnFormula>SUM(kip[[#This Row],[Orders_Delivered_OnTime]]/kip[[#This Row],[Orders_Placed]]*100)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C955-4D58-4CD4-AB07-4F55C33B6114}">
  <dimension ref="A3:D59"/>
  <sheetViews>
    <sheetView topLeftCell="A40" workbookViewId="0">
      <selection activeCell="B56" sqref="B56"/>
    </sheetView>
  </sheetViews>
  <sheetFormatPr defaultRowHeight="14.4" x14ac:dyDescent="0.3"/>
  <cols>
    <col min="1" max="1" width="12.5546875" bestFit="1" customWidth="1"/>
    <col min="2" max="2" width="19.77734375" bestFit="1" customWidth="1"/>
    <col min="3" max="3" width="17.6640625" bestFit="1" customWidth="1"/>
    <col min="4" max="4" width="15.88671875" bestFit="1" customWidth="1"/>
    <col min="5" max="6" width="17.6640625" bestFit="1" customWidth="1"/>
  </cols>
  <sheetData>
    <row r="3" spans="1:4" x14ac:dyDescent="0.3">
      <c r="A3" s="15" t="s">
        <v>342</v>
      </c>
      <c r="B3" t="s">
        <v>344</v>
      </c>
      <c r="C3" t="s">
        <v>345</v>
      </c>
      <c r="D3" t="s">
        <v>349</v>
      </c>
    </row>
    <row r="4" spans="1:4" x14ac:dyDescent="0.3">
      <c r="A4" s="16" t="s">
        <v>16</v>
      </c>
      <c r="B4" s="17">
        <v>3572</v>
      </c>
      <c r="C4" s="17">
        <v>2882</v>
      </c>
      <c r="D4" s="17">
        <v>81.001577795684838</v>
      </c>
    </row>
    <row r="5" spans="1:4" x14ac:dyDescent="0.3">
      <c r="A5" s="16" t="s">
        <v>56</v>
      </c>
      <c r="B5" s="17">
        <v>3185</v>
      </c>
      <c r="C5" s="17">
        <v>2671</v>
      </c>
      <c r="D5" s="17">
        <v>83.000970553605839</v>
      </c>
    </row>
    <row r="6" spans="1:4" x14ac:dyDescent="0.3">
      <c r="A6" s="16" t="s">
        <v>82</v>
      </c>
      <c r="B6" s="17">
        <v>3680</v>
      </c>
      <c r="C6" s="17">
        <v>2969</v>
      </c>
      <c r="D6" s="17">
        <v>80.386559590472402</v>
      </c>
    </row>
    <row r="7" spans="1:4" x14ac:dyDescent="0.3">
      <c r="A7" s="16" t="s">
        <v>108</v>
      </c>
      <c r="B7" s="17">
        <v>3535</v>
      </c>
      <c r="C7" s="17">
        <v>2922</v>
      </c>
      <c r="D7" s="17">
        <v>82.855337809712893</v>
      </c>
    </row>
    <row r="8" spans="1:4" x14ac:dyDescent="0.3">
      <c r="A8" s="16" t="s">
        <v>134</v>
      </c>
      <c r="B8" s="17">
        <v>3853</v>
      </c>
      <c r="C8" s="17">
        <v>3103</v>
      </c>
      <c r="D8" s="17">
        <v>80.926290882189491</v>
      </c>
    </row>
    <row r="9" spans="1:4" x14ac:dyDescent="0.3">
      <c r="A9" s="16" t="s">
        <v>160</v>
      </c>
      <c r="B9" s="17">
        <v>3636</v>
      </c>
      <c r="C9" s="17">
        <v>3005</v>
      </c>
      <c r="D9" s="17">
        <v>82.967884732118961</v>
      </c>
    </row>
    <row r="10" spans="1:4" x14ac:dyDescent="0.3">
      <c r="A10" s="16" t="s">
        <v>186</v>
      </c>
      <c r="B10" s="17">
        <v>3317</v>
      </c>
      <c r="C10" s="17">
        <v>2778</v>
      </c>
      <c r="D10" s="17">
        <v>83.118482716567399</v>
      </c>
    </row>
    <row r="11" spans="1:4" x14ac:dyDescent="0.3">
      <c r="A11" s="16" t="s">
        <v>212</v>
      </c>
      <c r="B11" s="17">
        <v>3339</v>
      </c>
      <c r="C11" s="17">
        <v>2786</v>
      </c>
      <c r="D11" s="17">
        <v>83.386896894080806</v>
      </c>
    </row>
    <row r="12" spans="1:4" x14ac:dyDescent="0.3">
      <c r="A12" s="16" t="s">
        <v>238</v>
      </c>
      <c r="B12" s="17">
        <v>3572</v>
      </c>
      <c r="C12" s="17">
        <v>3043</v>
      </c>
      <c r="D12" s="17">
        <v>84.702139435745025</v>
      </c>
    </row>
    <row r="13" spans="1:4" x14ac:dyDescent="0.3">
      <c r="A13" s="16" t="s">
        <v>264</v>
      </c>
      <c r="B13" s="17">
        <v>3357</v>
      </c>
      <c r="C13" s="17">
        <v>2735</v>
      </c>
      <c r="D13" s="17">
        <v>81.276344904259687</v>
      </c>
    </row>
    <row r="14" spans="1:4" x14ac:dyDescent="0.3">
      <c r="A14" s="16" t="s">
        <v>290</v>
      </c>
      <c r="B14" s="17">
        <v>3627</v>
      </c>
      <c r="C14" s="17">
        <v>2984</v>
      </c>
      <c r="D14" s="17">
        <v>82.199859957348366</v>
      </c>
    </row>
    <row r="15" spans="1:4" x14ac:dyDescent="0.3">
      <c r="A15" s="16" t="s">
        <v>316</v>
      </c>
      <c r="B15" s="17">
        <v>3800</v>
      </c>
      <c r="C15" s="17">
        <v>3081</v>
      </c>
      <c r="D15" s="17">
        <v>81.795135044428903</v>
      </c>
    </row>
    <row r="16" spans="1:4" x14ac:dyDescent="0.3">
      <c r="A16" s="16" t="s">
        <v>343</v>
      </c>
      <c r="B16" s="17">
        <v>42473</v>
      </c>
      <c r="C16" s="17">
        <v>34959</v>
      </c>
      <c r="D16" s="17">
        <v>82.301456693017883</v>
      </c>
    </row>
    <row r="21" spans="1:4" x14ac:dyDescent="0.3">
      <c r="A21" s="15" t="s">
        <v>342</v>
      </c>
      <c r="B21" t="s">
        <v>344</v>
      </c>
      <c r="C21" t="s">
        <v>345</v>
      </c>
      <c r="D21" t="s">
        <v>346</v>
      </c>
    </row>
    <row r="22" spans="1:4" x14ac:dyDescent="0.3">
      <c r="A22" s="16" t="s">
        <v>31</v>
      </c>
      <c r="B22" s="17">
        <v>8523</v>
      </c>
      <c r="C22" s="17">
        <v>6946</v>
      </c>
      <c r="D22" s="17">
        <v>1577</v>
      </c>
    </row>
    <row r="23" spans="1:4" x14ac:dyDescent="0.3">
      <c r="A23" s="16" t="s">
        <v>38</v>
      </c>
      <c r="B23" s="17">
        <v>8383</v>
      </c>
      <c r="C23" s="17">
        <v>6874</v>
      </c>
      <c r="D23" s="17">
        <v>1509</v>
      </c>
    </row>
    <row r="24" spans="1:4" x14ac:dyDescent="0.3">
      <c r="A24" s="16" t="s">
        <v>44</v>
      </c>
      <c r="B24" s="17">
        <v>8365</v>
      </c>
      <c r="C24" s="17">
        <v>6914</v>
      </c>
      <c r="D24" s="17">
        <v>1451</v>
      </c>
    </row>
    <row r="25" spans="1:4" x14ac:dyDescent="0.3">
      <c r="A25" s="16" t="s">
        <v>17</v>
      </c>
      <c r="B25" s="17">
        <v>8298</v>
      </c>
      <c r="C25" s="17">
        <v>6854</v>
      </c>
      <c r="D25" s="17">
        <v>1444</v>
      </c>
    </row>
    <row r="26" spans="1:4" x14ac:dyDescent="0.3">
      <c r="A26" s="16" t="s">
        <v>50</v>
      </c>
      <c r="B26" s="17">
        <v>8904</v>
      </c>
      <c r="C26" s="17">
        <v>7371</v>
      </c>
      <c r="D26" s="17">
        <v>1533</v>
      </c>
    </row>
    <row r="27" spans="1:4" x14ac:dyDescent="0.3">
      <c r="A27" s="16" t="s">
        <v>343</v>
      </c>
      <c r="B27" s="17">
        <v>42473</v>
      </c>
      <c r="C27" s="17">
        <v>34959</v>
      </c>
      <c r="D27" s="17">
        <v>7514</v>
      </c>
    </row>
    <row r="30" spans="1:4" x14ac:dyDescent="0.3">
      <c r="A30" s="15" t="s">
        <v>342</v>
      </c>
      <c r="B30" t="s">
        <v>347</v>
      </c>
      <c r="C30" t="s">
        <v>348</v>
      </c>
    </row>
    <row r="31" spans="1:4" x14ac:dyDescent="0.3">
      <c r="A31" s="16" t="s">
        <v>23</v>
      </c>
      <c r="B31" s="17">
        <v>9750623</v>
      </c>
      <c r="C31" s="17">
        <v>10205180</v>
      </c>
    </row>
    <row r="32" spans="1:4" x14ac:dyDescent="0.3">
      <c r="A32" s="16" t="s">
        <v>28</v>
      </c>
      <c r="B32" s="17">
        <v>9791315</v>
      </c>
      <c r="C32" s="17">
        <v>10256849</v>
      </c>
    </row>
    <row r="33" spans="1:3" x14ac:dyDescent="0.3">
      <c r="A33" s="16" t="s">
        <v>18</v>
      </c>
      <c r="B33" s="17">
        <v>10499202</v>
      </c>
      <c r="C33" s="17">
        <v>11041766</v>
      </c>
    </row>
    <row r="34" spans="1:3" x14ac:dyDescent="0.3">
      <c r="A34" s="16" t="s">
        <v>21</v>
      </c>
      <c r="B34" s="17">
        <v>10460164</v>
      </c>
      <c r="C34" s="17">
        <v>11108443</v>
      </c>
    </row>
    <row r="35" spans="1:3" x14ac:dyDescent="0.3">
      <c r="A35" s="16" t="s">
        <v>26</v>
      </c>
      <c r="B35" s="17">
        <v>9254763</v>
      </c>
      <c r="C35" s="17">
        <v>9547113</v>
      </c>
    </row>
    <row r="36" spans="1:3" x14ac:dyDescent="0.3">
      <c r="A36" s="16" t="s">
        <v>343</v>
      </c>
      <c r="B36" s="17">
        <v>49756067</v>
      </c>
      <c r="C36" s="17">
        <v>52159351</v>
      </c>
    </row>
    <row r="54" spans="1:2" x14ac:dyDescent="0.3">
      <c r="A54" s="15" t="s">
        <v>342</v>
      </c>
      <c r="B54" t="s">
        <v>344</v>
      </c>
    </row>
    <row r="55" spans="1:2" x14ac:dyDescent="0.3">
      <c r="A55" s="16" t="s">
        <v>29</v>
      </c>
      <c r="B55" s="17">
        <v>11808</v>
      </c>
    </row>
    <row r="56" spans="1:2" x14ac:dyDescent="0.3">
      <c r="A56" s="16" t="s">
        <v>19</v>
      </c>
      <c r="B56" s="17">
        <v>10944</v>
      </c>
    </row>
    <row r="57" spans="1:2" x14ac:dyDescent="0.3">
      <c r="A57" s="16" t="s">
        <v>24</v>
      </c>
      <c r="B57" s="17">
        <v>10331</v>
      </c>
    </row>
    <row r="58" spans="1:2" x14ac:dyDescent="0.3">
      <c r="A58" s="16" t="s">
        <v>32</v>
      </c>
      <c r="B58" s="17">
        <v>9390</v>
      </c>
    </row>
    <row r="59" spans="1:2" x14ac:dyDescent="0.3">
      <c r="A59" s="16" t="s">
        <v>343</v>
      </c>
      <c r="B59" s="17">
        <v>42473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9526-2635-4466-9D75-54222F0FB414}">
  <dimension ref="A1:R302"/>
  <sheetViews>
    <sheetView tabSelected="1" workbookViewId="0">
      <selection activeCell="M15" sqref="M15"/>
    </sheetView>
  </sheetViews>
  <sheetFormatPr defaultRowHeight="14.4" x14ac:dyDescent="0.3"/>
  <cols>
    <col min="1" max="1" width="10.77734375" customWidth="1"/>
    <col min="3" max="3" width="9.21875" customWidth="1"/>
    <col min="4" max="4" width="10.88671875" customWidth="1"/>
    <col min="5" max="5" width="9" customWidth="1"/>
    <col min="6" max="6" width="15.77734375" customWidth="1"/>
    <col min="7" max="7" width="25.77734375" customWidth="1"/>
    <col min="8" max="8" width="16.88671875" customWidth="1"/>
    <col min="9" max="9" width="16.6640625" customWidth="1"/>
    <col min="10" max="10" width="15.5546875" customWidth="1"/>
    <col min="11" max="11" width="16.109375" customWidth="1"/>
    <col min="12" max="12" width="23.44140625" customWidth="1"/>
    <col min="13" max="13" width="13.33203125" customWidth="1"/>
    <col min="14" max="14" width="14" customWidth="1"/>
    <col min="15" max="15" width="12.77734375" customWidth="1"/>
  </cols>
  <sheetData>
    <row r="1" spans="1:18"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9" t="s">
        <v>14</v>
      </c>
      <c r="P1" s="14" t="s">
        <v>341</v>
      </c>
    </row>
    <row r="2" spans="1:18" x14ac:dyDescent="0.3">
      <c r="A2" s="3" t="s">
        <v>15</v>
      </c>
      <c r="B2" s="1" t="s">
        <v>16</v>
      </c>
      <c r="C2" s="1" t="s">
        <v>17</v>
      </c>
      <c r="D2" s="1" t="s">
        <v>18</v>
      </c>
      <c r="E2" s="1" t="s">
        <v>19</v>
      </c>
      <c r="F2" s="1">
        <v>83</v>
      </c>
      <c r="G2" s="1">
        <v>73</v>
      </c>
      <c r="H2" s="1">
        <v>10</v>
      </c>
      <c r="I2" s="1">
        <v>450</v>
      </c>
      <c r="J2" s="1">
        <v>157</v>
      </c>
      <c r="K2" s="1">
        <v>1</v>
      </c>
      <c r="L2" s="1">
        <v>106868</v>
      </c>
      <c r="M2" s="1">
        <v>117876</v>
      </c>
      <c r="N2" s="1">
        <v>4</v>
      </c>
      <c r="O2" s="5">
        <v>83</v>
      </c>
      <c r="P2" s="13">
        <f>SUM(kip[[#This Row],[Orders_Delivered_OnTime]]/kip[[#This Row],[Orders_Placed]]*100)</f>
        <v>87.951807228915655</v>
      </c>
    </row>
    <row r="3" spans="1:18" x14ac:dyDescent="0.3">
      <c r="A3" s="4" t="s">
        <v>20</v>
      </c>
      <c r="B3" s="2" t="s">
        <v>16</v>
      </c>
      <c r="C3" s="2" t="s">
        <v>17</v>
      </c>
      <c r="D3" s="2" t="s">
        <v>21</v>
      </c>
      <c r="E3" s="2" t="s">
        <v>19</v>
      </c>
      <c r="F3" s="2">
        <v>155</v>
      </c>
      <c r="G3" s="2">
        <v>124</v>
      </c>
      <c r="H3" s="2">
        <v>31</v>
      </c>
      <c r="I3" s="2">
        <v>230</v>
      </c>
      <c r="J3" s="2">
        <v>123</v>
      </c>
      <c r="K3" s="2">
        <v>1</v>
      </c>
      <c r="L3" s="2">
        <v>140990</v>
      </c>
      <c r="M3" s="2">
        <v>148266</v>
      </c>
      <c r="N3" s="2">
        <v>0</v>
      </c>
      <c r="O3" s="6">
        <v>155</v>
      </c>
      <c r="P3" s="2">
        <f>SUM(kip[[#This Row],[Orders_Delivered_OnTime]]/kip[[#This Row],[Orders_Placed]]*100)</f>
        <v>80</v>
      </c>
    </row>
    <row r="4" spans="1:18" x14ac:dyDescent="0.3">
      <c r="A4" s="3" t="s">
        <v>22</v>
      </c>
      <c r="B4" s="1" t="s">
        <v>16</v>
      </c>
      <c r="C4" s="1" t="s">
        <v>17</v>
      </c>
      <c r="D4" s="1" t="s">
        <v>23</v>
      </c>
      <c r="E4" s="1" t="s">
        <v>24</v>
      </c>
      <c r="F4" s="1">
        <v>171</v>
      </c>
      <c r="G4" s="1">
        <v>147</v>
      </c>
      <c r="H4" s="1">
        <v>24</v>
      </c>
      <c r="I4" s="1">
        <v>758</v>
      </c>
      <c r="J4" s="1">
        <v>207</v>
      </c>
      <c r="K4" s="1">
        <v>1</v>
      </c>
      <c r="L4" s="1">
        <v>197757</v>
      </c>
      <c r="M4" s="1">
        <v>212940</v>
      </c>
      <c r="N4" s="1">
        <v>12</v>
      </c>
      <c r="O4" s="5">
        <v>171</v>
      </c>
      <c r="P4" s="2">
        <f>SUM(kip[[#This Row],[Orders_Delivered_OnTime]]/kip[[#This Row],[Orders_Placed]]*100)</f>
        <v>85.964912280701753</v>
      </c>
      <c r="R4" t="e">
        <f>SUM(#REF!)/SUM(#REF!)*100</f>
        <v>#REF!</v>
      </c>
    </row>
    <row r="5" spans="1:18" x14ac:dyDescent="0.3">
      <c r="A5" s="4" t="s">
        <v>25</v>
      </c>
      <c r="B5" s="2" t="s">
        <v>16</v>
      </c>
      <c r="C5" s="2" t="s">
        <v>17</v>
      </c>
      <c r="D5" s="2" t="s">
        <v>26</v>
      </c>
      <c r="E5" s="2" t="s">
        <v>19</v>
      </c>
      <c r="F5" s="2">
        <v>177</v>
      </c>
      <c r="G5" s="2">
        <v>159</v>
      </c>
      <c r="H5" s="2">
        <v>18</v>
      </c>
      <c r="I5" s="2">
        <v>632</v>
      </c>
      <c r="J5" s="2">
        <v>187</v>
      </c>
      <c r="K5" s="2">
        <v>2</v>
      </c>
      <c r="L5" s="2">
        <v>120758</v>
      </c>
      <c r="M5" s="2">
        <v>116482</v>
      </c>
      <c r="N5" s="2">
        <v>12</v>
      </c>
      <c r="O5" s="6">
        <v>177</v>
      </c>
      <c r="P5" s="2">
        <f>SUM(kip[[#This Row],[Orders_Delivered_OnTime]]/kip[[#This Row],[Orders_Placed]]*100)</f>
        <v>89.830508474576277</v>
      </c>
    </row>
    <row r="6" spans="1:18" x14ac:dyDescent="0.3">
      <c r="A6" s="3" t="s">
        <v>27</v>
      </c>
      <c r="B6" s="1" t="s">
        <v>16</v>
      </c>
      <c r="C6" s="1" t="s">
        <v>17</v>
      </c>
      <c r="D6" s="1" t="s">
        <v>28</v>
      </c>
      <c r="E6" s="1" t="s">
        <v>29</v>
      </c>
      <c r="F6" s="1">
        <v>93</v>
      </c>
      <c r="G6" s="1">
        <v>67</v>
      </c>
      <c r="H6" s="1">
        <v>26</v>
      </c>
      <c r="I6" s="1">
        <v>299</v>
      </c>
      <c r="J6" s="1">
        <v>191</v>
      </c>
      <c r="K6" s="1">
        <v>2</v>
      </c>
      <c r="L6" s="1">
        <v>238263</v>
      </c>
      <c r="M6" s="1">
        <v>233344</v>
      </c>
      <c r="N6" s="1">
        <v>0</v>
      </c>
      <c r="O6" s="5">
        <v>93</v>
      </c>
      <c r="P6" s="2">
        <f>SUM(kip[[#This Row],[Orders_Delivered_OnTime]]/kip[[#This Row],[Orders_Placed]]*100)</f>
        <v>72.043010752688176</v>
      </c>
      <c r="R6" t="e">
        <f>(SUM(#REF!)-SUM(#REF!))/SUM(#REF!)*100</f>
        <v>#REF!</v>
      </c>
    </row>
    <row r="7" spans="1:18" x14ac:dyDescent="0.3">
      <c r="A7" s="4" t="s">
        <v>30</v>
      </c>
      <c r="B7" s="2" t="s">
        <v>16</v>
      </c>
      <c r="C7" s="2" t="s">
        <v>31</v>
      </c>
      <c r="D7" s="2" t="s">
        <v>18</v>
      </c>
      <c r="E7" s="2" t="s">
        <v>32</v>
      </c>
      <c r="F7" s="2">
        <v>148</v>
      </c>
      <c r="G7" s="2">
        <v>108</v>
      </c>
      <c r="H7" s="2">
        <v>40</v>
      </c>
      <c r="I7" s="2">
        <v>587</v>
      </c>
      <c r="J7" s="2">
        <v>120</v>
      </c>
      <c r="K7" s="2">
        <v>4</v>
      </c>
      <c r="L7" s="2">
        <v>156854</v>
      </c>
      <c r="M7" s="2">
        <v>180197</v>
      </c>
      <c r="N7" s="2">
        <v>9</v>
      </c>
      <c r="O7" s="6">
        <v>148</v>
      </c>
      <c r="P7" s="2">
        <f>SUM(kip[[#This Row],[Orders_Delivered_OnTime]]/kip[[#This Row],[Orders_Placed]]*100)</f>
        <v>72.972972972972968</v>
      </c>
    </row>
    <row r="8" spans="1:18" x14ac:dyDescent="0.3">
      <c r="A8" s="3" t="s">
        <v>33</v>
      </c>
      <c r="B8" s="1" t="s">
        <v>16</v>
      </c>
      <c r="C8" s="1" t="s">
        <v>31</v>
      </c>
      <c r="D8" s="1" t="s">
        <v>21</v>
      </c>
      <c r="E8" s="1" t="s">
        <v>29</v>
      </c>
      <c r="F8" s="1">
        <v>153</v>
      </c>
      <c r="G8" s="1">
        <v>114</v>
      </c>
      <c r="H8" s="1">
        <v>39</v>
      </c>
      <c r="I8" s="1">
        <v>271</v>
      </c>
      <c r="J8" s="1">
        <v>111</v>
      </c>
      <c r="K8" s="1">
        <v>5</v>
      </c>
      <c r="L8" s="1">
        <v>139742</v>
      </c>
      <c r="M8" s="1">
        <v>158176</v>
      </c>
      <c r="N8" s="1">
        <v>1</v>
      </c>
      <c r="O8" s="5">
        <v>153</v>
      </c>
      <c r="P8" s="2">
        <f>SUM(kip[[#This Row],[Orders_Delivered_OnTime]]/kip[[#This Row],[Orders_Placed]]*100)</f>
        <v>74.509803921568633</v>
      </c>
    </row>
    <row r="9" spans="1:18" x14ac:dyDescent="0.3">
      <c r="A9" s="4" t="s">
        <v>34</v>
      </c>
      <c r="B9" s="2" t="s">
        <v>16</v>
      </c>
      <c r="C9" s="2" t="s">
        <v>31</v>
      </c>
      <c r="D9" s="2" t="s">
        <v>23</v>
      </c>
      <c r="E9" s="2" t="s">
        <v>24</v>
      </c>
      <c r="F9" s="2">
        <v>190</v>
      </c>
      <c r="G9" s="2">
        <v>137</v>
      </c>
      <c r="H9" s="2">
        <v>53</v>
      </c>
      <c r="I9" s="2">
        <v>484</v>
      </c>
      <c r="J9" s="2">
        <v>216</v>
      </c>
      <c r="K9" s="2">
        <v>5</v>
      </c>
      <c r="L9" s="2">
        <v>175638</v>
      </c>
      <c r="M9" s="2">
        <v>166644</v>
      </c>
      <c r="N9" s="2">
        <v>11</v>
      </c>
      <c r="O9" s="6">
        <v>190</v>
      </c>
      <c r="P9" s="2">
        <f>SUM(kip[[#This Row],[Orders_Delivered_OnTime]]/kip[[#This Row],[Orders_Placed]]*100)</f>
        <v>72.10526315789474</v>
      </c>
    </row>
    <row r="10" spans="1:18" x14ac:dyDescent="0.3">
      <c r="A10" s="3" t="s">
        <v>35</v>
      </c>
      <c r="B10" s="1" t="s">
        <v>16</v>
      </c>
      <c r="C10" s="1" t="s">
        <v>31</v>
      </c>
      <c r="D10" s="1" t="s">
        <v>26</v>
      </c>
      <c r="E10" s="1" t="s">
        <v>24</v>
      </c>
      <c r="F10" s="1">
        <v>165</v>
      </c>
      <c r="G10" s="1">
        <v>126</v>
      </c>
      <c r="H10" s="1">
        <v>39</v>
      </c>
      <c r="I10" s="1">
        <v>273</v>
      </c>
      <c r="J10" s="1">
        <v>255</v>
      </c>
      <c r="K10" s="1">
        <v>5</v>
      </c>
      <c r="L10" s="1">
        <v>124862</v>
      </c>
      <c r="M10" s="1">
        <v>132383</v>
      </c>
      <c r="N10" s="1">
        <v>3</v>
      </c>
      <c r="O10" s="5">
        <v>165</v>
      </c>
      <c r="P10" s="2">
        <f>SUM(kip[[#This Row],[Orders_Delivered_OnTime]]/kip[[#This Row],[Orders_Placed]]*100)</f>
        <v>76.363636363636374</v>
      </c>
    </row>
    <row r="11" spans="1:18" x14ac:dyDescent="0.3">
      <c r="A11" s="4" t="s">
        <v>36</v>
      </c>
      <c r="B11" s="2" t="s">
        <v>16</v>
      </c>
      <c r="C11" s="2" t="s">
        <v>31</v>
      </c>
      <c r="D11" s="2" t="s">
        <v>28</v>
      </c>
      <c r="E11" s="2" t="s">
        <v>24</v>
      </c>
      <c r="F11" s="2">
        <v>139</v>
      </c>
      <c r="G11" s="2">
        <v>110</v>
      </c>
      <c r="H11" s="2">
        <v>29</v>
      </c>
      <c r="I11" s="2">
        <v>770</v>
      </c>
      <c r="J11" s="2">
        <v>156</v>
      </c>
      <c r="K11" s="2">
        <v>5</v>
      </c>
      <c r="L11" s="2">
        <v>165008</v>
      </c>
      <c r="M11" s="2">
        <v>190230</v>
      </c>
      <c r="N11" s="2">
        <v>0</v>
      </c>
      <c r="O11" s="6">
        <v>139</v>
      </c>
      <c r="P11" s="2">
        <f>SUM(kip[[#This Row],[Orders_Delivered_OnTime]]/kip[[#This Row],[Orders_Placed]]*100)</f>
        <v>79.136690647482013</v>
      </c>
    </row>
    <row r="12" spans="1:18" x14ac:dyDescent="0.3">
      <c r="A12" s="3" t="s">
        <v>37</v>
      </c>
      <c r="B12" s="1" t="s">
        <v>16</v>
      </c>
      <c r="C12" s="1" t="s">
        <v>38</v>
      </c>
      <c r="D12" s="1" t="s">
        <v>18</v>
      </c>
      <c r="E12" s="1" t="s">
        <v>24</v>
      </c>
      <c r="F12" s="1">
        <v>185</v>
      </c>
      <c r="G12" s="1">
        <v>130</v>
      </c>
      <c r="H12" s="1">
        <v>55</v>
      </c>
      <c r="I12" s="1">
        <v>523</v>
      </c>
      <c r="J12" s="1">
        <v>202</v>
      </c>
      <c r="K12" s="1">
        <v>2</v>
      </c>
      <c r="L12" s="1">
        <v>97350</v>
      </c>
      <c r="M12" s="1">
        <v>93776</v>
      </c>
      <c r="N12" s="1">
        <v>9</v>
      </c>
      <c r="O12" s="5">
        <v>185</v>
      </c>
      <c r="P12" s="2">
        <f>SUM(kip[[#This Row],[Orders_Delivered_OnTime]]/kip[[#This Row],[Orders_Placed]]*100)</f>
        <v>70.270270270270274</v>
      </c>
    </row>
    <row r="13" spans="1:18" x14ac:dyDescent="0.3">
      <c r="A13" s="4" t="s">
        <v>39</v>
      </c>
      <c r="B13" s="2" t="s">
        <v>16</v>
      </c>
      <c r="C13" s="2" t="s">
        <v>38</v>
      </c>
      <c r="D13" s="2" t="s">
        <v>21</v>
      </c>
      <c r="E13" s="2" t="s">
        <v>29</v>
      </c>
      <c r="F13" s="2">
        <v>107</v>
      </c>
      <c r="G13" s="2">
        <v>92</v>
      </c>
      <c r="H13" s="2">
        <v>15</v>
      </c>
      <c r="I13" s="2">
        <v>605</v>
      </c>
      <c r="J13" s="2">
        <v>264</v>
      </c>
      <c r="K13" s="2">
        <v>3</v>
      </c>
      <c r="L13" s="2">
        <v>117452</v>
      </c>
      <c r="M13" s="2">
        <v>115040</v>
      </c>
      <c r="N13" s="2">
        <v>3</v>
      </c>
      <c r="O13" s="6">
        <v>107</v>
      </c>
      <c r="P13" s="2">
        <f>SUM(kip[[#This Row],[Orders_Delivered_OnTime]]/kip[[#This Row],[Orders_Placed]]*100)</f>
        <v>85.981308411214954</v>
      </c>
    </row>
    <row r="14" spans="1:18" x14ac:dyDescent="0.3">
      <c r="A14" s="3" t="s">
        <v>40</v>
      </c>
      <c r="B14" s="1" t="s">
        <v>16</v>
      </c>
      <c r="C14" s="1" t="s">
        <v>38</v>
      </c>
      <c r="D14" s="1" t="s">
        <v>23</v>
      </c>
      <c r="E14" s="1" t="s">
        <v>29</v>
      </c>
      <c r="F14" s="1">
        <v>175</v>
      </c>
      <c r="G14" s="1">
        <v>148</v>
      </c>
      <c r="H14" s="1">
        <v>27</v>
      </c>
      <c r="I14" s="1">
        <v>797</v>
      </c>
      <c r="J14" s="1">
        <v>202</v>
      </c>
      <c r="K14" s="1">
        <v>2</v>
      </c>
      <c r="L14" s="1">
        <v>137493</v>
      </c>
      <c r="M14" s="1">
        <v>164881</v>
      </c>
      <c r="N14" s="1">
        <v>2</v>
      </c>
      <c r="O14" s="5">
        <v>175</v>
      </c>
      <c r="P14" s="2">
        <f>SUM(kip[[#This Row],[Orders_Delivered_OnTime]]/kip[[#This Row],[Orders_Placed]]*100)</f>
        <v>84.571428571428569</v>
      </c>
    </row>
    <row r="15" spans="1:18" x14ac:dyDescent="0.3">
      <c r="A15" s="4" t="s">
        <v>41</v>
      </c>
      <c r="B15" s="2" t="s">
        <v>16</v>
      </c>
      <c r="C15" s="2" t="s">
        <v>38</v>
      </c>
      <c r="D15" s="2" t="s">
        <v>26</v>
      </c>
      <c r="E15" s="2" t="s">
        <v>32</v>
      </c>
      <c r="F15" s="2">
        <v>91</v>
      </c>
      <c r="G15" s="2">
        <v>80</v>
      </c>
      <c r="H15" s="2">
        <v>11</v>
      </c>
      <c r="I15" s="2">
        <v>312</v>
      </c>
      <c r="J15" s="2">
        <v>139</v>
      </c>
      <c r="K15" s="2">
        <v>5</v>
      </c>
      <c r="L15" s="2">
        <v>121938</v>
      </c>
      <c r="M15" s="2">
        <v>138719</v>
      </c>
      <c r="N15" s="2">
        <v>6</v>
      </c>
      <c r="O15" s="6">
        <v>91</v>
      </c>
      <c r="P15" s="2">
        <f>SUM(kip[[#This Row],[Orders_Delivered_OnTime]]/kip[[#This Row],[Orders_Placed]]*100)</f>
        <v>87.912087912087912</v>
      </c>
    </row>
    <row r="16" spans="1:18" x14ac:dyDescent="0.3">
      <c r="A16" s="3" t="s">
        <v>42</v>
      </c>
      <c r="B16" s="1" t="s">
        <v>16</v>
      </c>
      <c r="C16" s="1" t="s">
        <v>38</v>
      </c>
      <c r="D16" s="1" t="s">
        <v>28</v>
      </c>
      <c r="E16" s="1" t="s">
        <v>19</v>
      </c>
      <c r="F16" s="1">
        <v>129</v>
      </c>
      <c r="G16" s="1">
        <v>102</v>
      </c>
      <c r="H16" s="1">
        <v>27</v>
      </c>
      <c r="I16" s="1">
        <v>679</v>
      </c>
      <c r="J16" s="1">
        <v>235</v>
      </c>
      <c r="K16" s="1">
        <v>2</v>
      </c>
      <c r="L16" s="1">
        <v>225024</v>
      </c>
      <c r="M16" s="1">
        <v>260630</v>
      </c>
      <c r="N16" s="1">
        <v>0</v>
      </c>
      <c r="O16" s="5">
        <v>129</v>
      </c>
      <c r="P16" s="2">
        <f>SUM(kip[[#This Row],[Orders_Delivered_OnTime]]/kip[[#This Row],[Orders_Placed]]*100)</f>
        <v>79.069767441860463</v>
      </c>
    </row>
    <row r="17" spans="1:16" x14ac:dyDescent="0.3">
      <c r="A17" s="4" t="s">
        <v>43</v>
      </c>
      <c r="B17" s="2" t="s">
        <v>16</v>
      </c>
      <c r="C17" s="2" t="s">
        <v>44</v>
      </c>
      <c r="D17" s="2" t="s">
        <v>18</v>
      </c>
      <c r="E17" s="2" t="s">
        <v>19</v>
      </c>
      <c r="F17" s="2">
        <v>167</v>
      </c>
      <c r="G17" s="2">
        <v>153</v>
      </c>
      <c r="H17" s="2">
        <v>14</v>
      </c>
      <c r="I17" s="2">
        <v>473</v>
      </c>
      <c r="J17" s="2">
        <v>296</v>
      </c>
      <c r="K17" s="2">
        <v>5</v>
      </c>
      <c r="L17" s="2">
        <v>169174</v>
      </c>
      <c r="M17" s="2">
        <v>157918</v>
      </c>
      <c r="N17" s="2">
        <v>6</v>
      </c>
      <c r="O17" s="6">
        <v>167</v>
      </c>
      <c r="P17" s="2">
        <f>SUM(kip[[#This Row],[Orders_Delivered_OnTime]]/kip[[#This Row],[Orders_Placed]]*100)</f>
        <v>91.616766467065872</v>
      </c>
    </row>
    <row r="18" spans="1:16" x14ac:dyDescent="0.3">
      <c r="A18" s="3" t="s">
        <v>45</v>
      </c>
      <c r="B18" s="1" t="s">
        <v>16</v>
      </c>
      <c r="C18" s="1" t="s">
        <v>44</v>
      </c>
      <c r="D18" s="1" t="s">
        <v>21</v>
      </c>
      <c r="E18" s="1" t="s">
        <v>24</v>
      </c>
      <c r="F18" s="1">
        <v>138</v>
      </c>
      <c r="G18" s="1">
        <v>96</v>
      </c>
      <c r="H18" s="1">
        <v>42</v>
      </c>
      <c r="I18" s="1">
        <v>469</v>
      </c>
      <c r="J18" s="1">
        <v>228</v>
      </c>
      <c r="K18" s="1">
        <v>1</v>
      </c>
      <c r="L18" s="1">
        <v>213085</v>
      </c>
      <c r="M18" s="1">
        <v>250116</v>
      </c>
      <c r="N18" s="1">
        <v>10</v>
      </c>
      <c r="O18" s="5">
        <v>138</v>
      </c>
      <c r="P18" s="2">
        <f>SUM(kip[[#This Row],[Orders_Delivered_OnTime]]/kip[[#This Row],[Orders_Placed]]*100)</f>
        <v>69.565217391304344</v>
      </c>
    </row>
    <row r="19" spans="1:16" x14ac:dyDescent="0.3">
      <c r="A19" s="4" t="s">
        <v>46</v>
      </c>
      <c r="B19" s="2" t="s">
        <v>16</v>
      </c>
      <c r="C19" s="2" t="s">
        <v>44</v>
      </c>
      <c r="D19" s="2" t="s">
        <v>23</v>
      </c>
      <c r="E19" s="2" t="s">
        <v>29</v>
      </c>
      <c r="F19" s="2">
        <v>187</v>
      </c>
      <c r="G19" s="2">
        <v>160</v>
      </c>
      <c r="H19" s="2">
        <v>27</v>
      </c>
      <c r="I19" s="2">
        <v>403</v>
      </c>
      <c r="J19" s="2">
        <v>139</v>
      </c>
      <c r="K19" s="2">
        <v>2</v>
      </c>
      <c r="L19" s="2">
        <v>122349</v>
      </c>
      <c r="M19" s="2">
        <v>129911</v>
      </c>
      <c r="N19" s="2">
        <v>12</v>
      </c>
      <c r="O19" s="6">
        <v>187</v>
      </c>
      <c r="P19" s="2">
        <f>SUM(kip[[#This Row],[Orders_Delivered_OnTime]]/kip[[#This Row],[Orders_Placed]]*100)</f>
        <v>85.561497326203209</v>
      </c>
    </row>
    <row r="20" spans="1:16" x14ac:dyDescent="0.3">
      <c r="A20" s="3" t="s">
        <v>47</v>
      </c>
      <c r="B20" s="1" t="s">
        <v>16</v>
      </c>
      <c r="C20" s="1" t="s">
        <v>44</v>
      </c>
      <c r="D20" s="1" t="s">
        <v>26</v>
      </c>
      <c r="E20" s="1" t="s">
        <v>19</v>
      </c>
      <c r="F20" s="1">
        <v>156</v>
      </c>
      <c r="G20" s="1">
        <v>121</v>
      </c>
      <c r="H20" s="1">
        <v>35</v>
      </c>
      <c r="I20" s="1">
        <v>219</v>
      </c>
      <c r="J20" s="1">
        <v>128</v>
      </c>
      <c r="K20" s="1">
        <v>2</v>
      </c>
      <c r="L20" s="1">
        <v>160612</v>
      </c>
      <c r="M20" s="1">
        <v>156088</v>
      </c>
      <c r="N20" s="1">
        <v>3</v>
      </c>
      <c r="O20" s="5">
        <v>156</v>
      </c>
      <c r="P20" s="2">
        <f>SUM(kip[[#This Row],[Orders_Delivered_OnTime]]/kip[[#This Row],[Orders_Placed]]*100)</f>
        <v>77.564102564102569</v>
      </c>
    </row>
    <row r="21" spans="1:16" x14ac:dyDescent="0.3">
      <c r="A21" s="4" t="s">
        <v>48</v>
      </c>
      <c r="B21" s="2" t="s">
        <v>16</v>
      </c>
      <c r="C21" s="2" t="s">
        <v>44</v>
      </c>
      <c r="D21" s="2" t="s">
        <v>28</v>
      </c>
      <c r="E21" s="2" t="s">
        <v>19</v>
      </c>
      <c r="F21" s="2">
        <v>90</v>
      </c>
      <c r="G21" s="2">
        <v>79</v>
      </c>
      <c r="H21" s="2">
        <v>11</v>
      </c>
      <c r="I21" s="2">
        <v>270</v>
      </c>
      <c r="J21" s="2">
        <v>294</v>
      </c>
      <c r="K21" s="2">
        <v>4</v>
      </c>
      <c r="L21" s="2">
        <v>112967</v>
      </c>
      <c r="M21" s="2">
        <v>106021</v>
      </c>
      <c r="N21" s="2">
        <v>7</v>
      </c>
      <c r="O21" s="6">
        <v>90</v>
      </c>
      <c r="P21" s="2">
        <f>SUM(kip[[#This Row],[Orders_Delivered_OnTime]]/kip[[#This Row],[Orders_Placed]]*100)</f>
        <v>87.777777777777771</v>
      </c>
    </row>
    <row r="22" spans="1:16" x14ac:dyDescent="0.3">
      <c r="A22" s="3" t="s">
        <v>49</v>
      </c>
      <c r="B22" s="1" t="s">
        <v>16</v>
      </c>
      <c r="C22" s="1" t="s">
        <v>50</v>
      </c>
      <c r="D22" s="1" t="s">
        <v>18</v>
      </c>
      <c r="E22" s="1" t="s">
        <v>24</v>
      </c>
      <c r="F22" s="1">
        <v>113</v>
      </c>
      <c r="G22" s="1">
        <v>94</v>
      </c>
      <c r="H22" s="1">
        <v>19</v>
      </c>
      <c r="I22" s="1">
        <v>633</v>
      </c>
      <c r="J22" s="1">
        <v>154</v>
      </c>
      <c r="K22" s="1">
        <v>4</v>
      </c>
      <c r="L22" s="1">
        <v>132730</v>
      </c>
      <c r="M22" s="1">
        <v>147845</v>
      </c>
      <c r="N22" s="1">
        <v>6</v>
      </c>
      <c r="O22" s="5">
        <v>113</v>
      </c>
      <c r="P22" s="2">
        <f>SUM(kip[[#This Row],[Orders_Delivered_OnTime]]/kip[[#This Row],[Orders_Placed]]*100)</f>
        <v>83.185840707964601</v>
      </c>
    </row>
    <row r="23" spans="1:16" x14ac:dyDescent="0.3">
      <c r="A23" s="4" t="s">
        <v>51</v>
      </c>
      <c r="B23" s="2" t="s">
        <v>16</v>
      </c>
      <c r="C23" s="2" t="s">
        <v>50</v>
      </c>
      <c r="D23" s="2" t="s">
        <v>21</v>
      </c>
      <c r="E23" s="2" t="s">
        <v>29</v>
      </c>
      <c r="F23" s="2">
        <v>136</v>
      </c>
      <c r="G23" s="2">
        <v>125</v>
      </c>
      <c r="H23" s="2">
        <v>11</v>
      </c>
      <c r="I23" s="2">
        <v>662</v>
      </c>
      <c r="J23" s="2">
        <v>130</v>
      </c>
      <c r="K23" s="2">
        <v>1</v>
      </c>
      <c r="L23" s="2">
        <v>138903</v>
      </c>
      <c r="M23" s="2">
        <v>127680</v>
      </c>
      <c r="N23" s="2">
        <v>0</v>
      </c>
      <c r="O23" s="6">
        <v>136</v>
      </c>
      <c r="P23" s="2">
        <f>SUM(kip[[#This Row],[Orders_Delivered_OnTime]]/kip[[#This Row],[Orders_Placed]]*100)</f>
        <v>91.911764705882348</v>
      </c>
    </row>
    <row r="24" spans="1:16" x14ac:dyDescent="0.3">
      <c r="A24" s="3" t="s">
        <v>52</v>
      </c>
      <c r="B24" s="1" t="s">
        <v>16</v>
      </c>
      <c r="C24" s="1" t="s">
        <v>50</v>
      </c>
      <c r="D24" s="1" t="s">
        <v>23</v>
      </c>
      <c r="E24" s="1" t="s">
        <v>24</v>
      </c>
      <c r="F24" s="1">
        <v>155</v>
      </c>
      <c r="G24" s="1">
        <v>117</v>
      </c>
      <c r="H24" s="1">
        <v>38</v>
      </c>
      <c r="I24" s="1">
        <v>272</v>
      </c>
      <c r="J24" s="1">
        <v>281</v>
      </c>
      <c r="K24" s="1">
        <v>5</v>
      </c>
      <c r="L24" s="1">
        <v>95433</v>
      </c>
      <c r="M24" s="1">
        <v>92444</v>
      </c>
      <c r="N24" s="1">
        <v>0</v>
      </c>
      <c r="O24" s="5">
        <v>155</v>
      </c>
      <c r="P24" s="2">
        <f>SUM(kip[[#This Row],[Orders_Delivered_OnTime]]/kip[[#This Row],[Orders_Placed]]*100)</f>
        <v>75.483870967741936</v>
      </c>
    </row>
    <row r="25" spans="1:16" x14ac:dyDescent="0.3">
      <c r="A25" s="4" t="s">
        <v>53</v>
      </c>
      <c r="B25" s="2" t="s">
        <v>16</v>
      </c>
      <c r="C25" s="2" t="s">
        <v>50</v>
      </c>
      <c r="D25" s="2" t="s">
        <v>26</v>
      </c>
      <c r="E25" s="2" t="s">
        <v>29</v>
      </c>
      <c r="F25" s="2">
        <v>89</v>
      </c>
      <c r="G25" s="2">
        <v>73</v>
      </c>
      <c r="H25" s="2">
        <v>16</v>
      </c>
      <c r="I25" s="2">
        <v>485</v>
      </c>
      <c r="J25" s="2">
        <v>271</v>
      </c>
      <c r="K25" s="2">
        <v>3</v>
      </c>
      <c r="L25" s="2">
        <v>136160</v>
      </c>
      <c r="M25" s="2">
        <v>144570</v>
      </c>
      <c r="N25" s="2">
        <v>7</v>
      </c>
      <c r="O25" s="6">
        <v>89</v>
      </c>
      <c r="P25" s="2">
        <f>SUM(kip[[#This Row],[Orders_Delivered_OnTime]]/kip[[#This Row],[Orders_Placed]]*100)</f>
        <v>82.022471910112358</v>
      </c>
    </row>
    <row r="26" spans="1:16" x14ac:dyDescent="0.3">
      <c r="A26" s="3" t="s">
        <v>54</v>
      </c>
      <c r="B26" s="1" t="s">
        <v>16</v>
      </c>
      <c r="C26" s="1" t="s">
        <v>50</v>
      </c>
      <c r="D26" s="1" t="s">
        <v>28</v>
      </c>
      <c r="E26" s="1" t="s">
        <v>24</v>
      </c>
      <c r="F26" s="1">
        <v>180</v>
      </c>
      <c r="G26" s="1">
        <v>147</v>
      </c>
      <c r="H26" s="1">
        <v>33</v>
      </c>
      <c r="I26" s="1">
        <v>616</v>
      </c>
      <c r="J26" s="1">
        <v>148</v>
      </c>
      <c r="K26" s="1">
        <v>0</v>
      </c>
      <c r="L26" s="1">
        <v>105409</v>
      </c>
      <c r="M26" s="1">
        <v>115706</v>
      </c>
      <c r="N26" s="1">
        <v>5</v>
      </c>
      <c r="O26" s="5">
        <v>180</v>
      </c>
      <c r="P26" s="2">
        <f>SUM(kip[[#This Row],[Orders_Delivered_OnTime]]/kip[[#This Row],[Orders_Placed]]*100)</f>
        <v>81.666666666666671</v>
      </c>
    </row>
    <row r="27" spans="1:16" x14ac:dyDescent="0.3">
      <c r="A27" s="4" t="s">
        <v>55</v>
      </c>
      <c r="B27" s="2" t="s">
        <v>56</v>
      </c>
      <c r="C27" s="2" t="s">
        <v>17</v>
      </c>
      <c r="D27" s="2" t="s">
        <v>18</v>
      </c>
      <c r="E27" s="2" t="s">
        <v>32</v>
      </c>
      <c r="F27" s="2">
        <v>132</v>
      </c>
      <c r="G27" s="2">
        <v>107</v>
      </c>
      <c r="H27" s="2">
        <v>25</v>
      </c>
      <c r="I27" s="2">
        <v>255</v>
      </c>
      <c r="J27" s="2">
        <v>272</v>
      </c>
      <c r="K27" s="2">
        <v>5</v>
      </c>
      <c r="L27" s="2">
        <v>249392</v>
      </c>
      <c r="M27" s="2">
        <v>231816</v>
      </c>
      <c r="N27" s="2">
        <v>6</v>
      </c>
      <c r="O27" s="6">
        <v>132</v>
      </c>
      <c r="P27" s="2">
        <f>SUM(kip[[#This Row],[Orders_Delivered_OnTime]]/kip[[#This Row],[Orders_Placed]]*100)</f>
        <v>81.060606060606062</v>
      </c>
    </row>
    <row r="28" spans="1:16" x14ac:dyDescent="0.3">
      <c r="A28" s="3" t="s">
        <v>57</v>
      </c>
      <c r="B28" s="1" t="s">
        <v>56</v>
      </c>
      <c r="C28" s="1" t="s">
        <v>17</v>
      </c>
      <c r="D28" s="1" t="s">
        <v>21</v>
      </c>
      <c r="E28" s="1" t="s">
        <v>29</v>
      </c>
      <c r="F28" s="1">
        <v>182</v>
      </c>
      <c r="G28" s="1">
        <v>166</v>
      </c>
      <c r="H28" s="1">
        <v>16</v>
      </c>
      <c r="I28" s="1">
        <v>454</v>
      </c>
      <c r="J28" s="1">
        <v>149</v>
      </c>
      <c r="K28" s="1">
        <v>1</v>
      </c>
      <c r="L28" s="1">
        <v>220584</v>
      </c>
      <c r="M28" s="1">
        <v>228212</v>
      </c>
      <c r="N28" s="1">
        <v>6</v>
      </c>
      <c r="O28" s="5">
        <v>182</v>
      </c>
      <c r="P28" s="2">
        <f>SUM(kip[[#This Row],[Orders_Delivered_OnTime]]/kip[[#This Row],[Orders_Placed]]*100)</f>
        <v>91.208791208791212</v>
      </c>
    </row>
    <row r="29" spans="1:16" x14ac:dyDescent="0.3">
      <c r="A29" s="4" t="s">
        <v>58</v>
      </c>
      <c r="B29" s="2" t="s">
        <v>56</v>
      </c>
      <c r="C29" s="2" t="s">
        <v>17</v>
      </c>
      <c r="D29" s="2" t="s">
        <v>23</v>
      </c>
      <c r="E29" s="2" t="s">
        <v>24</v>
      </c>
      <c r="F29" s="2">
        <v>115</v>
      </c>
      <c r="G29" s="2">
        <v>93</v>
      </c>
      <c r="H29" s="2">
        <v>22</v>
      </c>
      <c r="I29" s="2">
        <v>277</v>
      </c>
      <c r="J29" s="2">
        <v>213</v>
      </c>
      <c r="K29" s="2">
        <v>4</v>
      </c>
      <c r="L29" s="2">
        <v>105666</v>
      </c>
      <c r="M29" s="2">
        <v>96703</v>
      </c>
      <c r="N29" s="2">
        <v>8</v>
      </c>
      <c r="O29" s="6">
        <v>115</v>
      </c>
      <c r="P29" s="2">
        <f>SUM(kip[[#This Row],[Orders_Delivered_OnTime]]/kip[[#This Row],[Orders_Placed]]*100)</f>
        <v>80.869565217391298</v>
      </c>
    </row>
    <row r="30" spans="1:16" x14ac:dyDescent="0.3">
      <c r="A30" s="3" t="s">
        <v>59</v>
      </c>
      <c r="B30" s="1" t="s">
        <v>56</v>
      </c>
      <c r="C30" s="1" t="s">
        <v>17</v>
      </c>
      <c r="D30" s="1" t="s">
        <v>26</v>
      </c>
      <c r="E30" s="1" t="s">
        <v>19</v>
      </c>
      <c r="F30" s="1">
        <v>91</v>
      </c>
      <c r="G30" s="1">
        <v>84</v>
      </c>
      <c r="H30" s="1">
        <v>7</v>
      </c>
      <c r="I30" s="1">
        <v>442</v>
      </c>
      <c r="J30" s="1">
        <v>142</v>
      </c>
      <c r="K30" s="1">
        <v>3</v>
      </c>
      <c r="L30" s="1">
        <v>207307</v>
      </c>
      <c r="M30" s="1">
        <v>216512</v>
      </c>
      <c r="N30" s="1">
        <v>6</v>
      </c>
      <c r="O30" s="5">
        <v>91</v>
      </c>
      <c r="P30" s="2">
        <f>SUM(kip[[#This Row],[Orders_Delivered_OnTime]]/kip[[#This Row],[Orders_Placed]]*100)</f>
        <v>92.307692307692307</v>
      </c>
    </row>
    <row r="31" spans="1:16" x14ac:dyDescent="0.3">
      <c r="A31" s="4" t="s">
        <v>60</v>
      </c>
      <c r="B31" s="2" t="s">
        <v>56</v>
      </c>
      <c r="C31" s="2" t="s">
        <v>17</v>
      </c>
      <c r="D31" s="2" t="s">
        <v>28</v>
      </c>
      <c r="E31" s="2" t="s">
        <v>19</v>
      </c>
      <c r="F31" s="2">
        <v>101</v>
      </c>
      <c r="G31" s="2">
        <v>80</v>
      </c>
      <c r="H31" s="2">
        <v>21</v>
      </c>
      <c r="I31" s="2">
        <v>599</v>
      </c>
      <c r="J31" s="2">
        <v>167</v>
      </c>
      <c r="K31" s="2">
        <v>3</v>
      </c>
      <c r="L31" s="2">
        <v>154776</v>
      </c>
      <c r="M31" s="2">
        <v>158939</v>
      </c>
      <c r="N31" s="2">
        <v>8</v>
      </c>
      <c r="O31" s="6">
        <v>101</v>
      </c>
      <c r="P31" s="2">
        <f>SUM(kip[[#This Row],[Orders_Delivered_OnTime]]/kip[[#This Row],[Orders_Placed]]*100)</f>
        <v>79.207920792079207</v>
      </c>
    </row>
    <row r="32" spans="1:16" x14ac:dyDescent="0.3">
      <c r="A32" s="3" t="s">
        <v>61</v>
      </c>
      <c r="B32" s="1" t="s">
        <v>56</v>
      </c>
      <c r="C32" s="1" t="s">
        <v>31</v>
      </c>
      <c r="D32" s="1" t="s">
        <v>18</v>
      </c>
      <c r="E32" s="1" t="s">
        <v>32</v>
      </c>
      <c r="F32" s="1">
        <v>99</v>
      </c>
      <c r="G32" s="1">
        <v>73</v>
      </c>
      <c r="H32" s="1">
        <v>26</v>
      </c>
      <c r="I32" s="1">
        <v>422</v>
      </c>
      <c r="J32" s="1">
        <v>114</v>
      </c>
      <c r="K32" s="1">
        <v>4</v>
      </c>
      <c r="L32" s="1">
        <v>222133</v>
      </c>
      <c r="M32" s="1">
        <v>203981</v>
      </c>
      <c r="N32" s="1">
        <v>5</v>
      </c>
      <c r="O32" s="5">
        <v>99</v>
      </c>
      <c r="P32" s="2">
        <f>SUM(kip[[#This Row],[Orders_Delivered_OnTime]]/kip[[#This Row],[Orders_Placed]]*100)</f>
        <v>73.73737373737373</v>
      </c>
    </row>
    <row r="33" spans="1:16" x14ac:dyDescent="0.3">
      <c r="A33" s="4" t="s">
        <v>62</v>
      </c>
      <c r="B33" s="2" t="s">
        <v>56</v>
      </c>
      <c r="C33" s="2" t="s">
        <v>31</v>
      </c>
      <c r="D33" s="2" t="s">
        <v>21</v>
      </c>
      <c r="E33" s="2" t="s">
        <v>19</v>
      </c>
      <c r="F33" s="2">
        <v>86</v>
      </c>
      <c r="G33" s="2">
        <v>72</v>
      </c>
      <c r="H33" s="2">
        <v>14</v>
      </c>
      <c r="I33" s="2">
        <v>714</v>
      </c>
      <c r="J33" s="2">
        <v>235</v>
      </c>
      <c r="K33" s="2">
        <v>1</v>
      </c>
      <c r="L33" s="2">
        <v>94910</v>
      </c>
      <c r="M33" s="2">
        <v>112775</v>
      </c>
      <c r="N33" s="2">
        <v>0</v>
      </c>
      <c r="O33" s="6">
        <v>86</v>
      </c>
      <c r="P33" s="2">
        <f>SUM(kip[[#This Row],[Orders_Delivered_OnTime]]/kip[[#This Row],[Orders_Placed]]*100)</f>
        <v>83.720930232558146</v>
      </c>
    </row>
    <row r="34" spans="1:16" x14ac:dyDescent="0.3">
      <c r="A34" s="3" t="s">
        <v>63</v>
      </c>
      <c r="B34" s="1" t="s">
        <v>56</v>
      </c>
      <c r="C34" s="1" t="s">
        <v>31</v>
      </c>
      <c r="D34" s="1" t="s">
        <v>23</v>
      </c>
      <c r="E34" s="1" t="s">
        <v>24</v>
      </c>
      <c r="F34" s="1">
        <v>88</v>
      </c>
      <c r="G34" s="1">
        <v>74</v>
      </c>
      <c r="H34" s="1">
        <v>14</v>
      </c>
      <c r="I34" s="1">
        <v>440</v>
      </c>
      <c r="J34" s="1">
        <v>203</v>
      </c>
      <c r="K34" s="1">
        <v>0</v>
      </c>
      <c r="L34" s="1">
        <v>229336</v>
      </c>
      <c r="M34" s="1">
        <v>223342</v>
      </c>
      <c r="N34" s="1">
        <v>0</v>
      </c>
      <c r="O34" s="5">
        <v>88</v>
      </c>
      <c r="P34" s="2">
        <f>SUM(kip[[#This Row],[Orders_Delivered_OnTime]]/kip[[#This Row],[Orders_Placed]]*100)</f>
        <v>84.090909090909093</v>
      </c>
    </row>
    <row r="35" spans="1:16" x14ac:dyDescent="0.3">
      <c r="A35" s="4" t="s">
        <v>64</v>
      </c>
      <c r="B35" s="2" t="s">
        <v>56</v>
      </c>
      <c r="C35" s="2" t="s">
        <v>31</v>
      </c>
      <c r="D35" s="2" t="s">
        <v>26</v>
      </c>
      <c r="E35" s="2" t="s">
        <v>19</v>
      </c>
      <c r="F35" s="2">
        <v>133</v>
      </c>
      <c r="G35" s="2">
        <v>114</v>
      </c>
      <c r="H35" s="2">
        <v>19</v>
      </c>
      <c r="I35" s="2">
        <v>778</v>
      </c>
      <c r="J35" s="2">
        <v>233</v>
      </c>
      <c r="K35" s="2">
        <v>2</v>
      </c>
      <c r="L35" s="2">
        <v>148358</v>
      </c>
      <c r="M35" s="2">
        <v>142613</v>
      </c>
      <c r="N35" s="2">
        <v>5</v>
      </c>
      <c r="O35" s="6">
        <v>133</v>
      </c>
      <c r="P35" s="2">
        <f>SUM(kip[[#This Row],[Orders_Delivered_OnTime]]/kip[[#This Row],[Orders_Placed]]*100)</f>
        <v>85.714285714285708</v>
      </c>
    </row>
    <row r="36" spans="1:16" x14ac:dyDescent="0.3">
      <c r="A36" s="3" t="s">
        <v>65</v>
      </c>
      <c r="B36" s="1" t="s">
        <v>56</v>
      </c>
      <c r="C36" s="1" t="s">
        <v>31</v>
      </c>
      <c r="D36" s="1" t="s">
        <v>28</v>
      </c>
      <c r="E36" s="1" t="s">
        <v>24</v>
      </c>
      <c r="F36" s="1">
        <v>113</v>
      </c>
      <c r="G36" s="1">
        <v>90</v>
      </c>
      <c r="H36" s="1">
        <v>23</v>
      </c>
      <c r="I36" s="1">
        <v>507</v>
      </c>
      <c r="J36" s="1">
        <v>217</v>
      </c>
      <c r="K36" s="1">
        <v>2</v>
      </c>
      <c r="L36" s="1">
        <v>99016</v>
      </c>
      <c r="M36" s="1">
        <v>89391</v>
      </c>
      <c r="N36" s="1">
        <v>9</v>
      </c>
      <c r="O36" s="5">
        <v>113</v>
      </c>
      <c r="P36" s="2">
        <f>SUM(kip[[#This Row],[Orders_Delivered_OnTime]]/kip[[#This Row],[Orders_Placed]]*100)</f>
        <v>79.646017699115049</v>
      </c>
    </row>
    <row r="37" spans="1:16" x14ac:dyDescent="0.3">
      <c r="A37" s="4" t="s">
        <v>66</v>
      </c>
      <c r="B37" s="2" t="s">
        <v>56</v>
      </c>
      <c r="C37" s="2" t="s">
        <v>38</v>
      </c>
      <c r="D37" s="2" t="s">
        <v>18</v>
      </c>
      <c r="E37" s="2" t="s">
        <v>19</v>
      </c>
      <c r="F37" s="2">
        <v>89</v>
      </c>
      <c r="G37" s="2">
        <v>74</v>
      </c>
      <c r="H37" s="2">
        <v>15</v>
      </c>
      <c r="I37" s="2">
        <v>718</v>
      </c>
      <c r="J37" s="2">
        <v>167</v>
      </c>
      <c r="K37" s="2">
        <v>1</v>
      </c>
      <c r="L37" s="2">
        <v>171490</v>
      </c>
      <c r="M37" s="2">
        <v>199658</v>
      </c>
      <c r="N37" s="2">
        <v>3</v>
      </c>
      <c r="O37" s="6">
        <v>89</v>
      </c>
      <c r="P37" s="2">
        <f>SUM(kip[[#This Row],[Orders_Delivered_OnTime]]/kip[[#This Row],[Orders_Placed]]*100)</f>
        <v>83.146067415730343</v>
      </c>
    </row>
    <row r="38" spans="1:16" x14ac:dyDescent="0.3">
      <c r="A38" s="3" t="s">
        <v>67</v>
      </c>
      <c r="B38" s="1" t="s">
        <v>56</v>
      </c>
      <c r="C38" s="1" t="s">
        <v>38</v>
      </c>
      <c r="D38" s="1" t="s">
        <v>21</v>
      </c>
      <c r="E38" s="1" t="s">
        <v>29</v>
      </c>
      <c r="F38" s="1">
        <v>116</v>
      </c>
      <c r="G38" s="1">
        <v>85</v>
      </c>
      <c r="H38" s="1">
        <v>31</v>
      </c>
      <c r="I38" s="1">
        <v>756</v>
      </c>
      <c r="J38" s="1">
        <v>280</v>
      </c>
      <c r="K38" s="1">
        <v>2</v>
      </c>
      <c r="L38" s="1">
        <v>240347</v>
      </c>
      <c r="M38" s="1">
        <v>287252</v>
      </c>
      <c r="N38" s="1">
        <v>8</v>
      </c>
      <c r="O38" s="5">
        <v>116</v>
      </c>
      <c r="P38" s="2">
        <f>SUM(kip[[#This Row],[Orders_Delivered_OnTime]]/kip[[#This Row],[Orders_Placed]]*100)</f>
        <v>73.275862068965509</v>
      </c>
    </row>
    <row r="39" spans="1:16" x14ac:dyDescent="0.3">
      <c r="A39" s="4" t="s">
        <v>68</v>
      </c>
      <c r="B39" s="2" t="s">
        <v>56</v>
      </c>
      <c r="C39" s="2" t="s">
        <v>38</v>
      </c>
      <c r="D39" s="2" t="s">
        <v>23</v>
      </c>
      <c r="E39" s="2" t="s">
        <v>19</v>
      </c>
      <c r="F39" s="2">
        <v>165</v>
      </c>
      <c r="G39" s="2">
        <v>149</v>
      </c>
      <c r="H39" s="2">
        <v>16</v>
      </c>
      <c r="I39" s="2">
        <v>506</v>
      </c>
      <c r="J39" s="2">
        <v>269</v>
      </c>
      <c r="K39" s="2">
        <v>0</v>
      </c>
      <c r="L39" s="2">
        <v>115203</v>
      </c>
      <c r="M39" s="2">
        <v>112822</v>
      </c>
      <c r="N39" s="2">
        <v>1</v>
      </c>
      <c r="O39" s="6">
        <v>165</v>
      </c>
      <c r="P39" s="2">
        <f>SUM(kip[[#This Row],[Orders_Delivered_OnTime]]/kip[[#This Row],[Orders_Placed]]*100)</f>
        <v>90.303030303030312</v>
      </c>
    </row>
    <row r="40" spans="1:16" x14ac:dyDescent="0.3">
      <c r="A40" s="3" t="s">
        <v>69</v>
      </c>
      <c r="B40" s="1" t="s">
        <v>56</v>
      </c>
      <c r="C40" s="1" t="s">
        <v>38</v>
      </c>
      <c r="D40" s="1" t="s">
        <v>26</v>
      </c>
      <c r="E40" s="1" t="s">
        <v>24</v>
      </c>
      <c r="F40" s="1">
        <v>114</v>
      </c>
      <c r="G40" s="1">
        <v>87</v>
      </c>
      <c r="H40" s="1">
        <v>27</v>
      </c>
      <c r="I40" s="1">
        <v>415</v>
      </c>
      <c r="J40" s="1">
        <v>283</v>
      </c>
      <c r="K40" s="1">
        <v>2</v>
      </c>
      <c r="L40" s="1">
        <v>133371</v>
      </c>
      <c r="M40" s="1">
        <v>147541</v>
      </c>
      <c r="N40" s="1">
        <v>4</v>
      </c>
      <c r="O40" s="5">
        <v>114</v>
      </c>
      <c r="P40" s="2">
        <f>SUM(kip[[#This Row],[Orders_Delivered_OnTime]]/kip[[#This Row],[Orders_Placed]]*100)</f>
        <v>76.31578947368422</v>
      </c>
    </row>
    <row r="41" spans="1:16" x14ac:dyDescent="0.3">
      <c r="A41" s="4" t="s">
        <v>70</v>
      </c>
      <c r="B41" s="2" t="s">
        <v>56</v>
      </c>
      <c r="C41" s="2" t="s">
        <v>38</v>
      </c>
      <c r="D41" s="2" t="s">
        <v>28</v>
      </c>
      <c r="E41" s="2" t="s">
        <v>32</v>
      </c>
      <c r="F41" s="2">
        <v>112</v>
      </c>
      <c r="G41" s="2">
        <v>103</v>
      </c>
      <c r="H41" s="2">
        <v>9</v>
      </c>
      <c r="I41" s="2">
        <v>252</v>
      </c>
      <c r="J41" s="2">
        <v>123</v>
      </c>
      <c r="K41" s="2">
        <v>5</v>
      </c>
      <c r="L41" s="2">
        <v>191037</v>
      </c>
      <c r="M41" s="2">
        <v>219464</v>
      </c>
      <c r="N41" s="2">
        <v>0</v>
      </c>
      <c r="O41" s="6">
        <v>112</v>
      </c>
      <c r="P41" s="2">
        <f>SUM(kip[[#This Row],[Orders_Delivered_OnTime]]/kip[[#This Row],[Orders_Placed]]*100)</f>
        <v>91.964285714285708</v>
      </c>
    </row>
    <row r="42" spans="1:16" x14ac:dyDescent="0.3">
      <c r="A42" s="3" t="s">
        <v>71</v>
      </c>
      <c r="B42" s="1" t="s">
        <v>56</v>
      </c>
      <c r="C42" s="1" t="s">
        <v>44</v>
      </c>
      <c r="D42" s="1" t="s">
        <v>18</v>
      </c>
      <c r="E42" s="1" t="s">
        <v>19</v>
      </c>
      <c r="F42" s="1">
        <v>122</v>
      </c>
      <c r="G42" s="1">
        <v>108</v>
      </c>
      <c r="H42" s="1">
        <v>14</v>
      </c>
      <c r="I42" s="1">
        <v>468</v>
      </c>
      <c r="J42" s="1">
        <v>141</v>
      </c>
      <c r="K42" s="1">
        <v>5</v>
      </c>
      <c r="L42" s="1">
        <v>195824</v>
      </c>
      <c r="M42" s="1">
        <v>208651</v>
      </c>
      <c r="N42" s="1">
        <v>6</v>
      </c>
      <c r="O42" s="5">
        <v>122</v>
      </c>
      <c r="P42" s="2">
        <f>SUM(kip[[#This Row],[Orders_Delivered_OnTime]]/kip[[#This Row],[Orders_Placed]]*100)</f>
        <v>88.52459016393442</v>
      </c>
    </row>
    <row r="43" spans="1:16" x14ac:dyDescent="0.3">
      <c r="A43" s="4" t="s">
        <v>72</v>
      </c>
      <c r="B43" s="2" t="s">
        <v>56</v>
      </c>
      <c r="C43" s="2" t="s">
        <v>44</v>
      </c>
      <c r="D43" s="2" t="s">
        <v>21</v>
      </c>
      <c r="E43" s="2" t="s">
        <v>19</v>
      </c>
      <c r="F43" s="2">
        <v>94</v>
      </c>
      <c r="G43" s="2">
        <v>67</v>
      </c>
      <c r="H43" s="2">
        <v>27</v>
      </c>
      <c r="I43" s="2">
        <v>352</v>
      </c>
      <c r="J43" s="2">
        <v>239</v>
      </c>
      <c r="K43" s="2">
        <v>0</v>
      </c>
      <c r="L43" s="2">
        <v>176787</v>
      </c>
      <c r="M43" s="2">
        <v>190002</v>
      </c>
      <c r="N43" s="2">
        <v>2</v>
      </c>
      <c r="O43" s="6">
        <v>94</v>
      </c>
      <c r="P43" s="2">
        <f>SUM(kip[[#This Row],[Orders_Delivered_OnTime]]/kip[[#This Row],[Orders_Placed]]*100)</f>
        <v>71.276595744680847</v>
      </c>
    </row>
    <row r="44" spans="1:16" x14ac:dyDescent="0.3">
      <c r="A44" s="3" t="s">
        <v>73</v>
      </c>
      <c r="B44" s="1" t="s">
        <v>56</v>
      </c>
      <c r="C44" s="1" t="s">
        <v>44</v>
      </c>
      <c r="D44" s="1" t="s">
        <v>23</v>
      </c>
      <c r="E44" s="1" t="s">
        <v>32</v>
      </c>
      <c r="F44" s="1">
        <v>96</v>
      </c>
      <c r="G44" s="1">
        <v>68</v>
      </c>
      <c r="H44" s="1">
        <v>28</v>
      </c>
      <c r="I44" s="1">
        <v>573</v>
      </c>
      <c r="J44" s="1">
        <v>110</v>
      </c>
      <c r="K44" s="1">
        <v>2</v>
      </c>
      <c r="L44" s="1">
        <v>135070</v>
      </c>
      <c r="M44" s="1">
        <v>149201</v>
      </c>
      <c r="N44" s="1">
        <v>1</v>
      </c>
      <c r="O44" s="5">
        <v>96</v>
      </c>
      <c r="P44" s="2">
        <f>SUM(kip[[#This Row],[Orders_Delivered_OnTime]]/kip[[#This Row],[Orders_Placed]]*100)</f>
        <v>70.833333333333343</v>
      </c>
    </row>
    <row r="45" spans="1:16" x14ac:dyDescent="0.3">
      <c r="A45" s="4" t="s">
        <v>74</v>
      </c>
      <c r="B45" s="2" t="s">
        <v>56</v>
      </c>
      <c r="C45" s="2" t="s">
        <v>44</v>
      </c>
      <c r="D45" s="2" t="s">
        <v>26</v>
      </c>
      <c r="E45" s="2" t="s">
        <v>29</v>
      </c>
      <c r="F45" s="2">
        <v>179</v>
      </c>
      <c r="G45" s="2">
        <v>150</v>
      </c>
      <c r="H45" s="2">
        <v>29</v>
      </c>
      <c r="I45" s="2">
        <v>616</v>
      </c>
      <c r="J45" s="2">
        <v>258</v>
      </c>
      <c r="K45" s="2">
        <v>5</v>
      </c>
      <c r="L45" s="2">
        <v>120515</v>
      </c>
      <c r="M45" s="2">
        <v>141934</v>
      </c>
      <c r="N45" s="2">
        <v>3</v>
      </c>
      <c r="O45" s="6">
        <v>179</v>
      </c>
      <c r="P45" s="2">
        <f>SUM(kip[[#This Row],[Orders_Delivered_OnTime]]/kip[[#This Row],[Orders_Placed]]*100)</f>
        <v>83.798882681564251</v>
      </c>
    </row>
    <row r="46" spans="1:16" x14ac:dyDescent="0.3">
      <c r="A46" s="3" t="s">
        <v>75</v>
      </c>
      <c r="B46" s="1" t="s">
        <v>56</v>
      </c>
      <c r="C46" s="1" t="s">
        <v>44</v>
      </c>
      <c r="D46" s="1" t="s">
        <v>28</v>
      </c>
      <c r="E46" s="1" t="s">
        <v>24</v>
      </c>
      <c r="F46" s="1">
        <v>182</v>
      </c>
      <c r="G46" s="1">
        <v>164</v>
      </c>
      <c r="H46" s="1">
        <v>18</v>
      </c>
      <c r="I46" s="1">
        <v>622</v>
      </c>
      <c r="J46" s="1">
        <v>106</v>
      </c>
      <c r="K46" s="1">
        <v>1</v>
      </c>
      <c r="L46" s="1">
        <v>167080</v>
      </c>
      <c r="M46" s="1">
        <v>189588</v>
      </c>
      <c r="N46" s="1">
        <v>6</v>
      </c>
      <c r="O46" s="5">
        <v>182</v>
      </c>
      <c r="P46" s="2">
        <f>SUM(kip[[#This Row],[Orders_Delivered_OnTime]]/kip[[#This Row],[Orders_Placed]]*100)</f>
        <v>90.109890109890117</v>
      </c>
    </row>
    <row r="47" spans="1:16" x14ac:dyDescent="0.3">
      <c r="A47" s="4" t="s">
        <v>76</v>
      </c>
      <c r="B47" s="2" t="s">
        <v>56</v>
      </c>
      <c r="C47" s="2" t="s">
        <v>50</v>
      </c>
      <c r="D47" s="2" t="s">
        <v>18</v>
      </c>
      <c r="E47" s="2" t="s">
        <v>24</v>
      </c>
      <c r="F47" s="2">
        <v>114</v>
      </c>
      <c r="G47" s="2">
        <v>84</v>
      </c>
      <c r="H47" s="2">
        <v>30</v>
      </c>
      <c r="I47" s="2">
        <v>310</v>
      </c>
      <c r="J47" s="2">
        <v>197</v>
      </c>
      <c r="K47" s="2">
        <v>0</v>
      </c>
      <c r="L47" s="2">
        <v>203388</v>
      </c>
      <c r="M47" s="2">
        <v>196621</v>
      </c>
      <c r="N47" s="2">
        <v>7</v>
      </c>
      <c r="O47" s="6">
        <v>114</v>
      </c>
      <c r="P47" s="2">
        <f>SUM(kip[[#This Row],[Orders_Delivered_OnTime]]/kip[[#This Row],[Orders_Placed]]*100)</f>
        <v>73.68421052631578</v>
      </c>
    </row>
    <row r="48" spans="1:16" x14ac:dyDescent="0.3">
      <c r="A48" s="3" t="s">
        <v>77</v>
      </c>
      <c r="B48" s="1" t="s">
        <v>56</v>
      </c>
      <c r="C48" s="1" t="s">
        <v>50</v>
      </c>
      <c r="D48" s="1" t="s">
        <v>21</v>
      </c>
      <c r="E48" s="1" t="s">
        <v>29</v>
      </c>
      <c r="F48" s="1">
        <v>119</v>
      </c>
      <c r="G48" s="1">
        <v>107</v>
      </c>
      <c r="H48" s="1">
        <v>12</v>
      </c>
      <c r="I48" s="1">
        <v>433</v>
      </c>
      <c r="J48" s="1">
        <v>157</v>
      </c>
      <c r="K48" s="1">
        <v>0</v>
      </c>
      <c r="L48" s="1">
        <v>130627</v>
      </c>
      <c r="M48" s="1">
        <v>133179</v>
      </c>
      <c r="N48" s="1">
        <v>4</v>
      </c>
      <c r="O48" s="5">
        <v>119</v>
      </c>
      <c r="P48" s="2">
        <f>SUM(kip[[#This Row],[Orders_Delivered_OnTime]]/kip[[#This Row],[Orders_Placed]]*100)</f>
        <v>89.915966386554629</v>
      </c>
    </row>
    <row r="49" spans="1:16" x14ac:dyDescent="0.3">
      <c r="A49" s="4" t="s">
        <v>78</v>
      </c>
      <c r="B49" s="2" t="s">
        <v>56</v>
      </c>
      <c r="C49" s="2" t="s">
        <v>50</v>
      </c>
      <c r="D49" s="2" t="s">
        <v>23</v>
      </c>
      <c r="E49" s="2" t="s">
        <v>19</v>
      </c>
      <c r="F49" s="2">
        <v>178</v>
      </c>
      <c r="G49" s="2">
        <v>137</v>
      </c>
      <c r="H49" s="2">
        <v>41</v>
      </c>
      <c r="I49" s="2">
        <v>721</v>
      </c>
      <c r="J49" s="2">
        <v>202</v>
      </c>
      <c r="K49" s="2">
        <v>5</v>
      </c>
      <c r="L49" s="2">
        <v>220565</v>
      </c>
      <c r="M49" s="2">
        <v>220420</v>
      </c>
      <c r="N49" s="2">
        <v>0</v>
      </c>
      <c r="O49" s="6">
        <v>178</v>
      </c>
      <c r="P49" s="2">
        <f>SUM(kip[[#This Row],[Orders_Delivered_OnTime]]/kip[[#This Row],[Orders_Placed]]*100)</f>
        <v>76.966292134831463</v>
      </c>
    </row>
    <row r="50" spans="1:16" x14ac:dyDescent="0.3">
      <c r="A50" s="3" t="s">
        <v>79</v>
      </c>
      <c r="B50" s="1" t="s">
        <v>56</v>
      </c>
      <c r="C50" s="1" t="s">
        <v>50</v>
      </c>
      <c r="D50" s="1" t="s">
        <v>26</v>
      </c>
      <c r="E50" s="1" t="s">
        <v>19</v>
      </c>
      <c r="F50" s="1">
        <v>192</v>
      </c>
      <c r="G50" s="1">
        <v>180</v>
      </c>
      <c r="H50" s="1">
        <v>12</v>
      </c>
      <c r="I50" s="1">
        <v>382</v>
      </c>
      <c r="J50" s="1">
        <v>248</v>
      </c>
      <c r="K50" s="1">
        <v>2</v>
      </c>
      <c r="L50" s="1">
        <v>90028</v>
      </c>
      <c r="M50" s="1">
        <v>83952</v>
      </c>
      <c r="N50" s="1">
        <v>13</v>
      </c>
      <c r="O50" s="5">
        <v>192</v>
      </c>
      <c r="P50" s="2">
        <f>SUM(kip[[#This Row],[Orders_Delivered_OnTime]]/kip[[#This Row],[Orders_Placed]]*100)</f>
        <v>93.75</v>
      </c>
    </row>
    <row r="51" spans="1:16" x14ac:dyDescent="0.3">
      <c r="A51" s="4" t="s">
        <v>80</v>
      </c>
      <c r="B51" s="2" t="s">
        <v>56</v>
      </c>
      <c r="C51" s="2" t="s">
        <v>50</v>
      </c>
      <c r="D51" s="2" t="s">
        <v>28</v>
      </c>
      <c r="E51" s="2" t="s">
        <v>29</v>
      </c>
      <c r="F51" s="2">
        <v>173</v>
      </c>
      <c r="G51" s="2">
        <v>155</v>
      </c>
      <c r="H51" s="2">
        <v>18</v>
      </c>
      <c r="I51" s="2">
        <v>646</v>
      </c>
      <c r="J51" s="2">
        <v>255</v>
      </c>
      <c r="K51" s="2">
        <v>4</v>
      </c>
      <c r="L51" s="2">
        <v>110315</v>
      </c>
      <c r="M51" s="2">
        <v>112031</v>
      </c>
      <c r="N51" s="2">
        <v>9</v>
      </c>
      <c r="O51" s="6">
        <v>173</v>
      </c>
      <c r="P51" s="2">
        <f>SUM(kip[[#This Row],[Orders_Delivered_OnTime]]/kip[[#This Row],[Orders_Placed]]*100)</f>
        <v>89.595375722543352</v>
      </c>
    </row>
    <row r="52" spans="1:16" x14ac:dyDescent="0.3">
      <c r="A52" s="3" t="s">
        <v>81</v>
      </c>
      <c r="B52" s="1" t="s">
        <v>82</v>
      </c>
      <c r="C52" s="1" t="s">
        <v>17</v>
      </c>
      <c r="D52" s="1" t="s">
        <v>18</v>
      </c>
      <c r="E52" s="1" t="s">
        <v>24</v>
      </c>
      <c r="F52" s="1">
        <v>112</v>
      </c>
      <c r="G52" s="1">
        <v>79</v>
      </c>
      <c r="H52" s="1">
        <v>33</v>
      </c>
      <c r="I52" s="1">
        <v>646</v>
      </c>
      <c r="J52" s="1">
        <v>100</v>
      </c>
      <c r="K52" s="1">
        <v>4</v>
      </c>
      <c r="L52" s="1">
        <v>221151</v>
      </c>
      <c r="M52" s="1">
        <v>244605</v>
      </c>
      <c r="N52" s="1">
        <v>3</v>
      </c>
      <c r="O52" s="5">
        <v>112</v>
      </c>
      <c r="P52" s="2">
        <f>SUM(kip[[#This Row],[Orders_Delivered_OnTime]]/kip[[#This Row],[Orders_Placed]]*100)</f>
        <v>70.535714285714292</v>
      </c>
    </row>
    <row r="53" spans="1:16" x14ac:dyDescent="0.3">
      <c r="A53" s="4" t="s">
        <v>83</v>
      </c>
      <c r="B53" s="2" t="s">
        <v>82</v>
      </c>
      <c r="C53" s="2" t="s">
        <v>17</v>
      </c>
      <c r="D53" s="2" t="s">
        <v>21</v>
      </c>
      <c r="E53" s="2" t="s">
        <v>29</v>
      </c>
      <c r="F53" s="2">
        <v>135</v>
      </c>
      <c r="G53" s="2">
        <v>96</v>
      </c>
      <c r="H53" s="2">
        <v>39</v>
      </c>
      <c r="I53" s="2">
        <v>538</v>
      </c>
      <c r="J53" s="2">
        <v>259</v>
      </c>
      <c r="K53" s="2">
        <v>2</v>
      </c>
      <c r="L53" s="2">
        <v>112669</v>
      </c>
      <c r="M53" s="2">
        <v>125730</v>
      </c>
      <c r="N53" s="2">
        <v>4</v>
      </c>
      <c r="O53" s="6">
        <v>135</v>
      </c>
      <c r="P53" s="2">
        <f>SUM(kip[[#This Row],[Orders_Delivered_OnTime]]/kip[[#This Row],[Orders_Placed]]*100)</f>
        <v>71.111111111111114</v>
      </c>
    </row>
    <row r="54" spans="1:16" x14ac:dyDescent="0.3">
      <c r="A54" s="3" t="s">
        <v>84</v>
      </c>
      <c r="B54" s="1" t="s">
        <v>82</v>
      </c>
      <c r="C54" s="1" t="s">
        <v>17</v>
      </c>
      <c r="D54" s="1" t="s">
        <v>23</v>
      </c>
      <c r="E54" s="1" t="s">
        <v>29</v>
      </c>
      <c r="F54" s="1">
        <v>165</v>
      </c>
      <c r="G54" s="1">
        <v>132</v>
      </c>
      <c r="H54" s="1">
        <v>33</v>
      </c>
      <c r="I54" s="1">
        <v>612</v>
      </c>
      <c r="J54" s="1">
        <v>278</v>
      </c>
      <c r="K54" s="1">
        <v>2</v>
      </c>
      <c r="L54" s="1">
        <v>225335</v>
      </c>
      <c r="M54" s="1">
        <v>211406</v>
      </c>
      <c r="N54" s="1">
        <v>6</v>
      </c>
      <c r="O54" s="5">
        <v>165</v>
      </c>
      <c r="P54" s="2">
        <f>SUM(kip[[#This Row],[Orders_Delivered_OnTime]]/kip[[#This Row],[Orders_Placed]]*100)</f>
        <v>80</v>
      </c>
    </row>
    <row r="55" spans="1:16" x14ac:dyDescent="0.3">
      <c r="A55" s="4" t="s">
        <v>85</v>
      </c>
      <c r="B55" s="2" t="s">
        <v>82</v>
      </c>
      <c r="C55" s="2" t="s">
        <v>17</v>
      </c>
      <c r="D55" s="2" t="s">
        <v>26</v>
      </c>
      <c r="E55" s="2" t="s">
        <v>32</v>
      </c>
      <c r="F55" s="2">
        <v>166</v>
      </c>
      <c r="G55" s="2">
        <v>147</v>
      </c>
      <c r="H55" s="2">
        <v>19</v>
      </c>
      <c r="I55" s="2">
        <v>378</v>
      </c>
      <c r="J55" s="2">
        <v>257</v>
      </c>
      <c r="K55" s="2">
        <v>4</v>
      </c>
      <c r="L55" s="2">
        <v>158892</v>
      </c>
      <c r="M55" s="2">
        <v>162359</v>
      </c>
      <c r="N55" s="2">
        <v>13</v>
      </c>
      <c r="O55" s="6">
        <v>166</v>
      </c>
      <c r="P55" s="2">
        <f>SUM(kip[[#This Row],[Orders_Delivered_OnTime]]/kip[[#This Row],[Orders_Placed]]*100)</f>
        <v>88.554216867469876</v>
      </c>
    </row>
    <row r="56" spans="1:16" x14ac:dyDescent="0.3">
      <c r="A56" s="3" t="s">
        <v>86</v>
      </c>
      <c r="B56" s="1" t="s">
        <v>82</v>
      </c>
      <c r="C56" s="1" t="s">
        <v>17</v>
      </c>
      <c r="D56" s="1" t="s">
        <v>28</v>
      </c>
      <c r="E56" s="1" t="s">
        <v>19</v>
      </c>
      <c r="F56" s="1">
        <v>118</v>
      </c>
      <c r="G56" s="1">
        <v>91</v>
      </c>
      <c r="H56" s="1">
        <v>27</v>
      </c>
      <c r="I56" s="1">
        <v>640</v>
      </c>
      <c r="J56" s="1">
        <v>248</v>
      </c>
      <c r="K56" s="1">
        <v>4</v>
      </c>
      <c r="L56" s="1">
        <v>164475</v>
      </c>
      <c r="M56" s="1">
        <v>170971</v>
      </c>
      <c r="N56" s="1">
        <v>7</v>
      </c>
      <c r="O56" s="5">
        <v>118</v>
      </c>
      <c r="P56" s="2">
        <f>SUM(kip[[#This Row],[Orders_Delivered_OnTime]]/kip[[#This Row],[Orders_Placed]]*100)</f>
        <v>77.118644067796609</v>
      </c>
    </row>
    <row r="57" spans="1:16" x14ac:dyDescent="0.3">
      <c r="A57" s="4" t="s">
        <v>87</v>
      </c>
      <c r="B57" s="2" t="s">
        <v>82</v>
      </c>
      <c r="C57" s="2" t="s">
        <v>31</v>
      </c>
      <c r="D57" s="2" t="s">
        <v>18</v>
      </c>
      <c r="E57" s="2" t="s">
        <v>24</v>
      </c>
      <c r="F57" s="2">
        <v>145</v>
      </c>
      <c r="G57" s="2">
        <v>118</v>
      </c>
      <c r="H57" s="2">
        <v>27</v>
      </c>
      <c r="I57" s="2">
        <v>373</v>
      </c>
      <c r="J57" s="2">
        <v>268</v>
      </c>
      <c r="K57" s="2">
        <v>0</v>
      </c>
      <c r="L57" s="2">
        <v>154392</v>
      </c>
      <c r="M57" s="2">
        <v>162827</v>
      </c>
      <c r="N57" s="2">
        <v>10</v>
      </c>
      <c r="O57" s="6">
        <v>145</v>
      </c>
      <c r="P57" s="2">
        <f>SUM(kip[[#This Row],[Orders_Delivered_OnTime]]/kip[[#This Row],[Orders_Placed]]*100)</f>
        <v>81.379310344827587</v>
      </c>
    </row>
    <row r="58" spans="1:16" x14ac:dyDescent="0.3">
      <c r="A58" s="3" t="s">
        <v>88</v>
      </c>
      <c r="B58" s="1" t="s">
        <v>82</v>
      </c>
      <c r="C58" s="1" t="s">
        <v>31</v>
      </c>
      <c r="D58" s="1" t="s">
        <v>21</v>
      </c>
      <c r="E58" s="1" t="s">
        <v>29</v>
      </c>
      <c r="F58" s="1">
        <v>91</v>
      </c>
      <c r="G58" s="1">
        <v>82</v>
      </c>
      <c r="H58" s="1">
        <v>9</v>
      </c>
      <c r="I58" s="1">
        <v>440</v>
      </c>
      <c r="J58" s="1">
        <v>272</v>
      </c>
      <c r="K58" s="1">
        <v>2</v>
      </c>
      <c r="L58" s="1">
        <v>138888</v>
      </c>
      <c r="M58" s="1">
        <v>158605</v>
      </c>
      <c r="N58" s="1">
        <v>2</v>
      </c>
      <c r="O58" s="5">
        <v>91</v>
      </c>
      <c r="P58" s="2">
        <f>SUM(kip[[#This Row],[Orders_Delivered_OnTime]]/kip[[#This Row],[Orders_Placed]]*100)</f>
        <v>90.109890109890117</v>
      </c>
    </row>
    <row r="59" spans="1:16" x14ac:dyDescent="0.3">
      <c r="A59" s="4" t="s">
        <v>89</v>
      </c>
      <c r="B59" s="2" t="s">
        <v>82</v>
      </c>
      <c r="C59" s="2" t="s">
        <v>31</v>
      </c>
      <c r="D59" s="2" t="s">
        <v>23</v>
      </c>
      <c r="E59" s="2" t="s">
        <v>19</v>
      </c>
      <c r="F59" s="2">
        <v>85</v>
      </c>
      <c r="G59" s="2">
        <v>64</v>
      </c>
      <c r="H59" s="2">
        <v>21</v>
      </c>
      <c r="I59" s="2">
        <v>686</v>
      </c>
      <c r="J59" s="2">
        <v>256</v>
      </c>
      <c r="K59" s="2">
        <v>0</v>
      </c>
      <c r="L59" s="2">
        <v>199384</v>
      </c>
      <c r="M59" s="2">
        <v>204235</v>
      </c>
      <c r="N59" s="2">
        <v>5</v>
      </c>
      <c r="O59" s="6">
        <v>85</v>
      </c>
      <c r="P59" s="2">
        <f>SUM(kip[[#This Row],[Orders_Delivered_OnTime]]/kip[[#This Row],[Orders_Placed]]*100)</f>
        <v>75.294117647058826</v>
      </c>
    </row>
    <row r="60" spans="1:16" x14ac:dyDescent="0.3">
      <c r="A60" s="3" t="s">
        <v>90</v>
      </c>
      <c r="B60" s="1" t="s">
        <v>82</v>
      </c>
      <c r="C60" s="1" t="s">
        <v>31</v>
      </c>
      <c r="D60" s="1" t="s">
        <v>26</v>
      </c>
      <c r="E60" s="1" t="s">
        <v>24</v>
      </c>
      <c r="F60" s="1">
        <v>171</v>
      </c>
      <c r="G60" s="1">
        <v>149</v>
      </c>
      <c r="H60" s="1">
        <v>22</v>
      </c>
      <c r="I60" s="1">
        <v>706</v>
      </c>
      <c r="J60" s="1">
        <v>202</v>
      </c>
      <c r="K60" s="1">
        <v>1</v>
      </c>
      <c r="L60" s="1">
        <v>118684</v>
      </c>
      <c r="M60" s="1">
        <v>130174</v>
      </c>
      <c r="N60" s="1">
        <v>0</v>
      </c>
      <c r="O60" s="5">
        <v>171</v>
      </c>
      <c r="P60" s="2">
        <f>SUM(kip[[#This Row],[Orders_Delivered_OnTime]]/kip[[#This Row],[Orders_Placed]]*100)</f>
        <v>87.134502923976612</v>
      </c>
    </row>
    <row r="61" spans="1:16" x14ac:dyDescent="0.3">
      <c r="A61" s="4" t="s">
        <v>91</v>
      </c>
      <c r="B61" s="2" t="s">
        <v>82</v>
      </c>
      <c r="C61" s="2" t="s">
        <v>31</v>
      </c>
      <c r="D61" s="2" t="s">
        <v>28</v>
      </c>
      <c r="E61" s="2" t="s">
        <v>19</v>
      </c>
      <c r="F61" s="2">
        <v>179</v>
      </c>
      <c r="G61" s="2">
        <v>144</v>
      </c>
      <c r="H61" s="2">
        <v>35</v>
      </c>
      <c r="I61" s="2">
        <v>380</v>
      </c>
      <c r="J61" s="2">
        <v>278</v>
      </c>
      <c r="K61" s="2">
        <v>4</v>
      </c>
      <c r="L61" s="2">
        <v>201778</v>
      </c>
      <c r="M61" s="2">
        <v>184640</v>
      </c>
      <c r="N61" s="2">
        <v>3</v>
      </c>
      <c r="O61" s="6">
        <v>179</v>
      </c>
      <c r="P61" s="2">
        <f>SUM(kip[[#This Row],[Orders_Delivered_OnTime]]/kip[[#This Row],[Orders_Placed]]*100)</f>
        <v>80.44692737430168</v>
      </c>
    </row>
    <row r="62" spans="1:16" x14ac:dyDescent="0.3">
      <c r="A62" s="3" t="s">
        <v>92</v>
      </c>
      <c r="B62" s="1" t="s">
        <v>82</v>
      </c>
      <c r="C62" s="1" t="s">
        <v>38</v>
      </c>
      <c r="D62" s="1" t="s">
        <v>18</v>
      </c>
      <c r="E62" s="1" t="s">
        <v>19</v>
      </c>
      <c r="F62" s="1">
        <v>138</v>
      </c>
      <c r="G62" s="1">
        <v>101</v>
      </c>
      <c r="H62" s="1">
        <v>37</v>
      </c>
      <c r="I62" s="1">
        <v>675</v>
      </c>
      <c r="J62" s="1">
        <v>270</v>
      </c>
      <c r="K62" s="1">
        <v>4</v>
      </c>
      <c r="L62" s="1">
        <v>226518</v>
      </c>
      <c r="M62" s="1">
        <v>244330</v>
      </c>
      <c r="N62" s="1">
        <v>7</v>
      </c>
      <c r="O62" s="5">
        <v>138</v>
      </c>
      <c r="P62" s="2">
        <f>SUM(kip[[#This Row],[Orders_Delivered_OnTime]]/kip[[#This Row],[Orders_Placed]]*100)</f>
        <v>73.188405797101453</v>
      </c>
    </row>
    <row r="63" spans="1:16" x14ac:dyDescent="0.3">
      <c r="A63" s="4" t="s">
        <v>93</v>
      </c>
      <c r="B63" s="2" t="s">
        <v>82</v>
      </c>
      <c r="C63" s="2" t="s">
        <v>38</v>
      </c>
      <c r="D63" s="2" t="s">
        <v>21</v>
      </c>
      <c r="E63" s="2" t="s">
        <v>32</v>
      </c>
      <c r="F63" s="2">
        <v>186</v>
      </c>
      <c r="G63" s="2">
        <v>172</v>
      </c>
      <c r="H63" s="2">
        <v>14</v>
      </c>
      <c r="I63" s="2">
        <v>656</v>
      </c>
      <c r="J63" s="2">
        <v>140</v>
      </c>
      <c r="K63" s="2">
        <v>5</v>
      </c>
      <c r="L63" s="2">
        <v>204433</v>
      </c>
      <c r="M63" s="2">
        <v>211592</v>
      </c>
      <c r="N63" s="2">
        <v>12</v>
      </c>
      <c r="O63" s="6">
        <v>186</v>
      </c>
      <c r="P63" s="2">
        <f>SUM(kip[[#This Row],[Orders_Delivered_OnTime]]/kip[[#This Row],[Orders_Placed]]*100)</f>
        <v>92.473118279569889</v>
      </c>
    </row>
    <row r="64" spans="1:16" x14ac:dyDescent="0.3">
      <c r="A64" s="3" t="s">
        <v>94</v>
      </c>
      <c r="B64" s="1" t="s">
        <v>82</v>
      </c>
      <c r="C64" s="1" t="s">
        <v>38</v>
      </c>
      <c r="D64" s="1" t="s">
        <v>23</v>
      </c>
      <c r="E64" s="1" t="s">
        <v>24</v>
      </c>
      <c r="F64" s="1">
        <v>187</v>
      </c>
      <c r="G64" s="1">
        <v>160</v>
      </c>
      <c r="H64" s="1">
        <v>27</v>
      </c>
      <c r="I64" s="1">
        <v>733</v>
      </c>
      <c r="J64" s="1">
        <v>224</v>
      </c>
      <c r="K64" s="1">
        <v>5</v>
      </c>
      <c r="L64" s="1">
        <v>142716</v>
      </c>
      <c r="M64" s="1">
        <v>140201</v>
      </c>
      <c r="N64" s="1">
        <v>1</v>
      </c>
      <c r="O64" s="5">
        <v>187</v>
      </c>
      <c r="P64" s="2">
        <f>SUM(kip[[#This Row],[Orders_Delivered_OnTime]]/kip[[#This Row],[Orders_Placed]]*100)</f>
        <v>85.561497326203209</v>
      </c>
    </row>
    <row r="65" spans="1:16" x14ac:dyDescent="0.3">
      <c r="A65" s="4" t="s">
        <v>95</v>
      </c>
      <c r="B65" s="2" t="s">
        <v>82</v>
      </c>
      <c r="C65" s="2" t="s">
        <v>38</v>
      </c>
      <c r="D65" s="2" t="s">
        <v>26</v>
      </c>
      <c r="E65" s="2" t="s">
        <v>29</v>
      </c>
      <c r="F65" s="2">
        <v>110</v>
      </c>
      <c r="G65" s="2">
        <v>84</v>
      </c>
      <c r="H65" s="2">
        <v>26</v>
      </c>
      <c r="I65" s="2">
        <v>527</v>
      </c>
      <c r="J65" s="2">
        <v>238</v>
      </c>
      <c r="K65" s="2">
        <v>0</v>
      </c>
      <c r="L65" s="2">
        <v>116273</v>
      </c>
      <c r="M65" s="2">
        <v>109906</v>
      </c>
      <c r="N65" s="2">
        <v>6</v>
      </c>
      <c r="O65" s="6">
        <v>110</v>
      </c>
      <c r="P65" s="2">
        <f>SUM(kip[[#This Row],[Orders_Delivered_OnTime]]/kip[[#This Row],[Orders_Placed]]*100)</f>
        <v>76.363636363636374</v>
      </c>
    </row>
    <row r="66" spans="1:16" x14ac:dyDescent="0.3">
      <c r="A66" s="3" t="s">
        <v>96</v>
      </c>
      <c r="B66" s="1" t="s">
        <v>82</v>
      </c>
      <c r="C66" s="1" t="s">
        <v>38</v>
      </c>
      <c r="D66" s="1" t="s">
        <v>28</v>
      </c>
      <c r="E66" s="1" t="s">
        <v>24</v>
      </c>
      <c r="F66" s="1">
        <v>170</v>
      </c>
      <c r="G66" s="1">
        <v>128</v>
      </c>
      <c r="H66" s="1">
        <v>42</v>
      </c>
      <c r="I66" s="1">
        <v>624</v>
      </c>
      <c r="J66" s="1">
        <v>204</v>
      </c>
      <c r="K66" s="1">
        <v>2</v>
      </c>
      <c r="L66" s="1">
        <v>222242</v>
      </c>
      <c r="M66" s="1">
        <v>231082</v>
      </c>
      <c r="N66" s="1">
        <v>0</v>
      </c>
      <c r="O66" s="5">
        <v>170</v>
      </c>
      <c r="P66" s="2">
        <f>SUM(kip[[#This Row],[Orders_Delivered_OnTime]]/kip[[#This Row],[Orders_Placed]]*100)</f>
        <v>75.294117647058826</v>
      </c>
    </row>
    <row r="67" spans="1:16" x14ac:dyDescent="0.3">
      <c r="A67" s="4" t="s">
        <v>97</v>
      </c>
      <c r="B67" s="2" t="s">
        <v>82</v>
      </c>
      <c r="C67" s="2" t="s">
        <v>44</v>
      </c>
      <c r="D67" s="2" t="s">
        <v>18</v>
      </c>
      <c r="E67" s="2" t="s">
        <v>24</v>
      </c>
      <c r="F67" s="2">
        <v>186</v>
      </c>
      <c r="G67" s="2">
        <v>149</v>
      </c>
      <c r="H67" s="2">
        <v>37</v>
      </c>
      <c r="I67" s="2">
        <v>798</v>
      </c>
      <c r="J67" s="2">
        <v>278</v>
      </c>
      <c r="K67" s="2">
        <v>0</v>
      </c>
      <c r="L67" s="2">
        <v>230913</v>
      </c>
      <c r="M67" s="2">
        <v>234172</v>
      </c>
      <c r="N67" s="2">
        <v>0</v>
      </c>
      <c r="O67" s="6">
        <v>186</v>
      </c>
      <c r="P67" s="2">
        <f>SUM(kip[[#This Row],[Orders_Delivered_OnTime]]/kip[[#This Row],[Orders_Placed]]*100)</f>
        <v>80.107526881720432</v>
      </c>
    </row>
    <row r="68" spans="1:16" x14ac:dyDescent="0.3">
      <c r="A68" s="3" t="s">
        <v>98</v>
      </c>
      <c r="B68" s="1" t="s">
        <v>82</v>
      </c>
      <c r="C68" s="1" t="s">
        <v>44</v>
      </c>
      <c r="D68" s="1" t="s">
        <v>21</v>
      </c>
      <c r="E68" s="1" t="s">
        <v>29</v>
      </c>
      <c r="F68" s="1">
        <v>118</v>
      </c>
      <c r="G68" s="1">
        <v>104</v>
      </c>
      <c r="H68" s="1">
        <v>14</v>
      </c>
      <c r="I68" s="1">
        <v>629</v>
      </c>
      <c r="J68" s="1">
        <v>237</v>
      </c>
      <c r="K68" s="1">
        <v>5</v>
      </c>
      <c r="L68" s="1">
        <v>223165</v>
      </c>
      <c r="M68" s="1">
        <v>254399</v>
      </c>
      <c r="N68" s="1">
        <v>3</v>
      </c>
      <c r="O68" s="5">
        <v>118</v>
      </c>
      <c r="P68" s="2">
        <f>SUM(kip[[#This Row],[Orders_Delivered_OnTime]]/kip[[#This Row],[Orders_Placed]]*100)</f>
        <v>88.135593220338976</v>
      </c>
    </row>
    <row r="69" spans="1:16" x14ac:dyDescent="0.3">
      <c r="A69" s="4" t="s">
        <v>99</v>
      </c>
      <c r="B69" s="2" t="s">
        <v>82</v>
      </c>
      <c r="C69" s="2" t="s">
        <v>44</v>
      </c>
      <c r="D69" s="2" t="s">
        <v>23</v>
      </c>
      <c r="E69" s="2" t="s">
        <v>32</v>
      </c>
      <c r="F69" s="2">
        <v>108</v>
      </c>
      <c r="G69" s="2">
        <v>82</v>
      </c>
      <c r="H69" s="2">
        <v>26</v>
      </c>
      <c r="I69" s="2">
        <v>697</v>
      </c>
      <c r="J69" s="2">
        <v>107</v>
      </c>
      <c r="K69" s="2">
        <v>3</v>
      </c>
      <c r="L69" s="2">
        <v>168114</v>
      </c>
      <c r="M69" s="2">
        <v>185036</v>
      </c>
      <c r="N69" s="2">
        <v>6</v>
      </c>
      <c r="O69" s="6">
        <v>108</v>
      </c>
      <c r="P69" s="2">
        <f>SUM(kip[[#This Row],[Orders_Delivered_OnTime]]/kip[[#This Row],[Orders_Placed]]*100)</f>
        <v>75.925925925925924</v>
      </c>
    </row>
    <row r="70" spans="1:16" x14ac:dyDescent="0.3">
      <c r="A70" s="3" t="s">
        <v>100</v>
      </c>
      <c r="B70" s="1" t="s">
        <v>82</v>
      </c>
      <c r="C70" s="1" t="s">
        <v>44</v>
      </c>
      <c r="D70" s="1" t="s">
        <v>26</v>
      </c>
      <c r="E70" s="1" t="s">
        <v>24</v>
      </c>
      <c r="F70" s="1">
        <v>187</v>
      </c>
      <c r="G70" s="1">
        <v>152</v>
      </c>
      <c r="H70" s="1">
        <v>35</v>
      </c>
      <c r="I70" s="1">
        <v>330</v>
      </c>
      <c r="J70" s="1">
        <v>259</v>
      </c>
      <c r="K70" s="1">
        <v>4</v>
      </c>
      <c r="L70" s="1">
        <v>87069</v>
      </c>
      <c r="M70" s="1">
        <v>102051</v>
      </c>
      <c r="N70" s="1">
        <v>9</v>
      </c>
      <c r="O70" s="5">
        <v>187</v>
      </c>
      <c r="P70" s="2">
        <f>SUM(kip[[#This Row],[Orders_Delivered_OnTime]]/kip[[#This Row],[Orders_Placed]]*100)</f>
        <v>81.283422459893046</v>
      </c>
    </row>
    <row r="71" spans="1:16" x14ac:dyDescent="0.3">
      <c r="A71" s="4" t="s">
        <v>101</v>
      </c>
      <c r="B71" s="2" t="s">
        <v>82</v>
      </c>
      <c r="C71" s="2" t="s">
        <v>44</v>
      </c>
      <c r="D71" s="2" t="s">
        <v>28</v>
      </c>
      <c r="E71" s="2" t="s">
        <v>19</v>
      </c>
      <c r="F71" s="2">
        <v>90</v>
      </c>
      <c r="G71" s="2">
        <v>77</v>
      </c>
      <c r="H71" s="2">
        <v>13</v>
      </c>
      <c r="I71" s="2">
        <v>338</v>
      </c>
      <c r="J71" s="2">
        <v>218</v>
      </c>
      <c r="K71" s="2">
        <v>1</v>
      </c>
      <c r="L71" s="2">
        <v>93181</v>
      </c>
      <c r="M71" s="2">
        <v>91135</v>
      </c>
      <c r="N71" s="2">
        <v>5</v>
      </c>
      <c r="O71" s="6">
        <v>90</v>
      </c>
      <c r="P71" s="2">
        <f>SUM(kip[[#This Row],[Orders_Delivered_OnTime]]/kip[[#This Row],[Orders_Placed]]*100)</f>
        <v>85.555555555555557</v>
      </c>
    </row>
    <row r="72" spans="1:16" x14ac:dyDescent="0.3">
      <c r="A72" s="3" t="s">
        <v>102</v>
      </c>
      <c r="B72" s="1" t="s">
        <v>82</v>
      </c>
      <c r="C72" s="1" t="s">
        <v>50</v>
      </c>
      <c r="D72" s="1" t="s">
        <v>18</v>
      </c>
      <c r="E72" s="1" t="s">
        <v>24</v>
      </c>
      <c r="F72" s="1">
        <v>138</v>
      </c>
      <c r="G72" s="1">
        <v>107</v>
      </c>
      <c r="H72" s="1">
        <v>31</v>
      </c>
      <c r="I72" s="1">
        <v>588</v>
      </c>
      <c r="J72" s="1">
        <v>171</v>
      </c>
      <c r="K72" s="1">
        <v>3</v>
      </c>
      <c r="L72" s="1">
        <v>146131</v>
      </c>
      <c r="M72" s="1">
        <v>168119</v>
      </c>
      <c r="N72" s="1">
        <v>7</v>
      </c>
      <c r="O72" s="5">
        <v>138</v>
      </c>
      <c r="P72" s="2">
        <f>SUM(kip[[#This Row],[Orders_Delivered_OnTime]]/kip[[#This Row],[Orders_Placed]]*100)</f>
        <v>77.536231884057969</v>
      </c>
    </row>
    <row r="73" spans="1:16" x14ac:dyDescent="0.3">
      <c r="A73" s="4" t="s">
        <v>103</v>
      </c>
      <c r="B73" s="2" t="s">
        <v>82</v>
      </c>
      <c r="C73" s="2" t="s">
        <v>50</v>
      </c>
      <c r="D73" s="2" t="s">
        <v>21</v>
      </c>
      <c r="E73" s="2" t="s">
        <v>19</v>
      </c>
      <c r="F73" s="2">
        <v>175</v>
      </c>
      <c r="G73" s="2">
        <v>146</v>
      </c>
      <c r="H73" s="2">
        <v>29</v>
      </c>
      <c r="I73" s="2">
        <v>558</v>
      </c>
      <c r="J73" s="2">
        <v>157</v>
      </c>
      <c r="K73" s="2">
        <v>5</v>
      </c>
      <c r="L73" s="2">
        <v>97987</v>
      </c>
      <c r="M73" s="2">
        <v>111153</v>
      </c>
      <c r="N73" s="2">
        <v>10</v>
      </c>
      <c r="O73" s="6">
        <v>175</v>
      </c>
      <c r="P73" s="2">
        <f>SUM(kip[[#This Row],[Orders_Delivered_OnTime]]/kip[[#This Row],[Orders_Placed]]*100)</f>
        <v>83.428571428571431</v>
      </c>
    </row>
    <row r="74" spans="1:16" x14ac:dyDescent="0.3">
      <c r="A74" s="3" t="s">
        <v>104</v>
      </c>
      <c r="B74" s="1" t="s">
        <v>82</v>
      </c>
      <c r="C74" s="1" t="s">
        <v>50</v>
      </c>
      <c r="D74" s="1" t="s">
        <v>23</v>
      </c>
      <c r="E74" s="1" t="s">
        <v>19</v>
      </c>
      <c r="F74" s="1">
        <v>176</v>
      </c>
      <c r="G74" s="1">
        <v>124</v>
      </c>
      <c r="H74" s="1">
        <v>52</v>
      </c>
      <c r="I74" s="1">
        <v>453</v>
      </c>
      <c r="J74" s="1">
        <v>151</v>
      </c>
      <c r="K74" s="1">
        <v>0</v>
      </c>
      <c r="L74" s="1">
        <v>242879</v>
      </c>
      <c r="M74" s="1">
        <v>229694</v>
      </c>
      <c r="N74" s="1">
        <v>2</v>
      </c>
      <c r="O74" s="5">
        <v>176</v>
      </c>
      <c r="P74" s="2">
        <f>SUM(kip[[#This Row],[Orders_Delivered_OnTime]]/kip[[#This Row],[Orders_Placed]]*100)</f>
        <v>70.454545454545453</v>
      </c>
    </row>
    <row r="75" spans="1:16" x14ac:dyDescent="0.3">
      <c r="A75" s="4" t="s">
        <v>105</v>
      </c>
      <c r="B75" s="2" t="s">
        <v>82</v>
      </c>
      <c r="C75" s="2" t="s">
        <v>50</v>
      </c>
      <c r="D75" s="2" t="s">
        <v>26</v>
      </c>
      <c r="E75" s="2" t="s">
        <v>32</v>
      </c>
      <c r="F75" s="2">
        <v>165</v>
      </c>
      <c r="G75" s="2">
        <v>120</v>
      </c>
      <c r="H75" s="2">
        <v>45</v>
      </c>
      <c r="I75" s="2">
        <v>423</v>
      </c>
      <c r="J75" s="2">
        <v>219</v>
      </c>
      <c r="K75" s="2">
        <v>5</v>
      </c>
      <c r="L75" s="2">
        <v>147172</v>
      </c>
      <c r="M75" s="2">
        <v>166314</v>
      </c>
      <c r="N75" s="2">
        <v>2</v>
      </c>
      <c r="O75" s="6">
        <v>165</v>
      </c>
      <c r="P75" s="2">
        <f>SUM(kip[[#This Row],[Orders_Delivered_OnTime]]/kip[[#This Row],[Orders_Placed]]*100)</f>
        <v>72.727272727272734</v>
      </c>
    </row>
    <row r="76" spans="1:16" x14ac:dyDescent="0.3">
      <c r="A76" s="3" t="s">
        <v>106</v>
      </c>
      <c r="B76" s="1" t="s">
        <v>82</v>
      </c>
      <c r="C76" s="1" t="s">
        <v>50</v>
      </c>
      <c r="D76" s="1" t="s">
        <v>28</v>
      </c>
      <c r="E76" s="1" t="s">
        <v>19</v>
      </c>
      <c r="F76" s="1">
        <v>179</v>
      </c>
      <c r="G76" s="1">
        <v>161</v>
      </c>
      <c r="H76" s="1">
        <v>18</v>
      </c>
      <c r="I76" s="1">
        <v>518</v>
      </c>
      <c r="J76" s="1">
        <v>127</v>
      </c>
      <c r="K76" s="1">
        <v>4</v>
      </c>
      <c r="L76" s="1">
        <v>86731</v>
      </c>
      <c r="M76" s="1">
        <v>102226</v>
      </c>
      <c r="N76" s="1">
        <v>9</v>
      </c>
      <c r="O76" s="5">
        <v>179</v>
      </c>
      <c r="P76" s="2">
        <f>SUM(kip[[#This Row],[Orders_Delivered_OnTime]]/kip[[#This Row],[Orders_Placed]]*100)</f>
        <v>89.944134078212286</v>
      </c>
    </row>
    <row r="77" spans="1:16" x14ac:dyDescent="0.3">
      <c r="A77" s="4" t="s">
        <v>107</v>
      </c>
      <c r="B77" s="2" t="s">
        <v>108</v>
      </c>
      <c r="C77" s="2" t="s">
        <v>17</v>
      </c>
      <c r="D77" s="2" t="s">
        <v>18</v>
      </c>
      <c r="E77" s="2" t="s">
        <v>32</v>
      </c>
      <c r="F77" s="2">
        <v>130</v>
      </c>
      <c r="G77" s="2">
        <v>121</v>
      </c>
      <c r="H77" s="2">
        <v>9</v>
      </c>
      <c r="I77" s="2">
        <v>403</v>
      </c>
      <c r="J77" s="2">
        <v>119</v>
      </c>
      <c r="K77" s="2">
        <v>4</v>
      </c>
      <c r="L77" s="2">
        <v>244427</v>
      </c>
      <c r="M77" s="2">
        <v>237791</v>
      </c>
      <c r="N77" s="2">
        <v>4</v>
      </c>
      <c r="O77" s="6">
        <v>130</v>
      </c>
      <c r="P77" s="2">
        <f>SUM(kip[[#This Row],[Orders_Delivered_OnTime]]/kip[[#This Row],[Orders_Placed]]*100)</f>
        <v>93.07692307692308</v>
      </c>
    </row>
    <row r="78" spans="1:16" x14ac:dyDescent="0.3">
      <c r="A78" s="3" t="s">
        <v>109</v>
      </c>
      <c r="B78" s="1" t="s">
        <v>108</v>
      </c>
      <c r="C78" s="1" t="s">
        <v>17</v>
      </c>
      <c r="D78" s="1" t="s">
        <v>21</v>
      </c>
      <c r="E78" s="1" t="s">
        <v>19</v>
      </c>
      <c r="F78" s="1">
        <v>181</v>
      </c>
      <c r="G78" s="1">
        <v>171</v>
      </c>
      <c r="H78" s="1">
        <v>10</v>
      </c>
      <c r="I78" s="1">
        <v>242</v>
      </c>
      <c r="J78" s="1">
        <v>188</v>
      </c>
      <c r="K78" s="1">
        <v>4</v>
      </c>
      <c r="L78" s="1">
        <v>192296</v>
      </c>
      <c r="M78" s="1">
        <v>211228</v>
      </c>
      <c r="N78" s="1">
        <v>1</v>
      </c>
      <c r="O78" s="5">
        <v>181</v>
      </c>
      <c r="P78" s="2">
        <f>SUM(kip[[#This Row],[Orders_Delivered_OnTime]]/kip[[#This Row],[Orders_Placed]]*100)</f>
        <v>94.475138121546962</v>
      </c>
    </row>
    <row r="79" spans="1:16" x14ac:dyDescent="0.3">
      <c r="A79" s="4" t="s">
        <v>110</v>
      </c>
      <c r="B79" s="2" t="s">
        <v>108</v>
      </c>
      <c r="C79" s="2" t="s">
        <v>17</v>
      </c>
      <c r="D79" s="2" t="s">
        <v>23</v>
      </c>
      <c r="E79" s="2" t="s">
        <v>29</v>
      </c>
      <c r="F79" s="2">
        <v>81</v>
      </c>
      <c r="G79" s="2">
        <v>73</v>
      </c>
      <c r="H79" s="2">
        <v>8</v>
      </c>
      <c r="I79" s="2">
        <v>701</v>
      </c>
      <c r="J79" s="2">
        <v>127</v>
      </c>
      <c r="K79" s="2">
        <v>3</v>
      </c>
      <c r="L79" s="2">
        <v>174945</v>
      </c>
      <c r="M79" s="2">
        <v>190808</v>
      </c>
      <c r="N79" s="2">
        <v>6</v>
      </c>
      <c r="O79" s="6">
        <v>81</v>
      </c>
      <c r="P79" s="2">
        <f>SUM(kip[[#This Row],[Orders_Delivered_OnTime]]/kip[[#This Row],[Orders_Placed]]*100)</f>
        <v>90.123456790123456</v>
      </c>
    </row>
    <row r="80" spans="1:16" x14ac:dyDescent="0.3">
      <c r="A80" s="3" t="s">
        <v>111</v>
      </c>
      <c r="B80" s="1" t="s">
        <v>108</v>
      </c>
      <c r="C80" s="1" t="s">
        <v>17</v>
      </c>
      <c r="D80" s="1" t="s">
        <v>26</v>
      </c>
      <c r="E80" s="1" t="s">
        <v>32</v>
      </c>
      <c r="F80" s="1">
        <v>170</v>
      </c>
      <c r="G80" s="1">
        <v>125</v>
      </c>
      <c r="H80" s="1">
        <v>45</v>
      </c>
      <c r="I80" s="1">
        <v>380</v>
      </c>
      <c r="J80" s="1">
        <v>287</v>
      </c>
      <c r="K80" s="1">
        <v>4</v>
      </c>
      <c r="L80" s="1">
        <v>150800</v>
      </c>
      <c r="M80" s="1">
        <v>163583</v>
      </c>
      <c r="N80" s="1">
        <v>8</v>
      </c>
      <c r="O80" s="5">
        <v>170</v>
      </c>
      <c r="P80" s="2">
        <f>SUM(kip[[#This Row],[Orders_Delivered_OnTime]]/kip[[#This Row],[Orders_Placed]]*100)</f>
        <v>73.529411764705884</v>
      </c>
    </row>
    <row r="81" spans="1:16" x14ac:dyDescent="0.3">
      <c r="A81" s="4" t="s">
        <v>112</v>
      </c>
      <c r="B81" s="2" t="s">
        <v>108</v>
      </c>
      <c r="C81" s="2" t="s">
        <v>17</v>
      </c>
      <c r="D81" s="2" t="s">
        <v>28</v>
      </c>
      <c r="E81" s="2" t="s">
        <v>32</v>
      </c>
      <c r="F81" s="2">
        <v>139</v>
      </c>
      <c r="G81" s="2">
        <v>112</v>
      </c>
      <c r="H81" s="2">
        <v>27</v>
      </c>
      <c r="I81" s="2">
        <v>474</v>
      </c>
      <c r="J81" s="2">
        <v>182</v>
      </c>
      <c r="K81" s="2">
        <v>1</v>
      </c>
      <c r="L81" s="2">
        <v>102718</v>
      </c>
      <c r="M81" s="2">
        <v>101041</v>
      </c>
      <c r="N81" s="2">
        <v>7</v>
      </c>
      <c r="O81" s="6">
        <v>139</v>
      </c>
      <c r="P81" s="2">
        <f>SUM(kip[[#This Row],[Orders_Delivered_OnTime]]/kip[[#This Row],[Orders_Placed]]*100)</f>
        <v>80.57553956834532</v>
      </c>
    </row>
    <row r="82" spans="1:16" x14ac:dyDescent="0.3">
      <c r="A82" s="3" t="s">
        <v>113</v>
      </c>
      <c r="B82" s="1" t="s">
        <v>108</v>
      </c>
      <c r="C82" s="1" t="s">
        <v>31</v>
      </c>
      <c r="D82" s="1" t="s">
        <v>18</v>
      </c>
      <c r="E82" s="1" t="s">
        <v>24</v>
      </c>
      <c r="F82" s="1">
        <v>176</v>
      </c>
      <c r="G82" s="1">
        <v>143</v>
      </c>
      <c r="H82" s="1">
        <v>33</v>
      </c>
      <c r="I82" s="1">
        <v>588</v>
      </c>
      <c r="J82" s="1">
        <v>186</v>
      </c>
      <c r="K82" s="1">
        <v>0</v>
      </c>
      <c r="L82" s="1">
        <v>209579</v>
      </c>
      <c r="M82" s="1">
        <v>242123</v>
      </c>
      <c r="N82" s="1">
        <v>2</v>
      </c>
      <c r="O82" s="5">
        <v>176</v>
      </c>
      <c r="P82" s="2">
        <f>SUM(kip[[#This Row],[Orders_Delivered_OnTime]]/kip[[#This Row],[Orders_Placed]]*100)</f>
        <v>81.25</v>
      </c>
    </row>
    <row r="83" spans="1:16" x14ac:dyDescent="0.3">
      <c r="A83" s="4" t="s">
        <v>114</v>
      </c>
      <c r="B83" s="2" t="s">
        <v>108</v>
      </c>
      <c r="C83" s="2" t="s">
        <v>31</v>
      </c>
      <c r="D83" s="2" t="s">
        <v>21</v>
      </c>
      <c r="E83" s="2" t="s">
        <v>32</v>
      </c>
      <c r="F83" s="2">
        <v>107</v>
      </c>
      <c r="G83" s="2">
        <v>84</v>
      </c>
      <c r="H83" s="2">
        <v>23</v>
      </c>
      <c r="I83" s="2">
        <v>464</v>
      </c>
      <c r="J83" s="2">
        <v>187</v>
      </c>
      <c r="K83" s="2">
        <v>2</v>
      </c>
      <c r="L83" s="2">
        <v>236278</v>
      </c>
      <c r="M83" s="2">
        <v>262352</v>
      </c>
      <c r="N83" s="2">
        <v>4</v>
      </c>
      <c r="O83" s="6">
        <v>107</v>
      </c>
      <c r="P83" s="2">
        <f>SUM(kip[[#This Row],[Orders_Delivered_OnTime]]/kip[[#This Row],[Orders_Placed]]*100)</f>
        <v>78.504672897196258</v>
      </c>
    </row>
    <row r="84" spans="1:16" x14ac:dyDescent="0.3">
      <c r="A84" s="3" t="s">
        <v>115</v>
      </c>
      <c r="B84" s="1" t="s">
        <v>108</v>
      </c>
      <c r="C84" s="1" t="s">
        <v>31</v>
      </c>
      <c r="D84" s="1" t="s">
        <v>23</v>
      </c>
      <c r="E84" s="1" t="s">
        <v>19</v>
      </c>
      <c r="F84" s="1">
        <v>146</v>
      </c>
      <c r="G84" s="1">
        <v>136</v>
      </c>
      <c r="H84" s="1">
        <v>10</v>
      </c>
      <c r="I84" s="1">
        <v>287</v>
      </c>
      <c r="J84" s="1">
        <v>161</v>
      </c>
      <c r="K84" s="1">
        <v>5</v>
      </c>
      <c r="L84" s="1">
        <v>186542</v>
      </c>
      <c r="M84" s="1">
        <v>195229</v>
      </c>
      <c r="N84" s="1">
        <v>3</v>
      </c>
      <c r="O84" s="5">
        <v>146</v>
      </c>
      <c r="P84" s="2">
        <f>SUM(kip[[#This Row],[Orders_Delivered_OnTime]]/kip[[#This Row],[Orders_Placed]]*100)</f>
        <v>93.150684931506845</v>
      </c>
    </row>
    <row r="85" spans="1:16" x14ac:dyDescent="0.3">
      <c r="A85" s="4" t="s">
        <v>116</v>
      </c>
      <c r="B85" s="2" t="s">
        <v>108</v>
      </c>
      <c r="C85" s="2" t="s">
        <v>31</v>
      </c>
      <c r="D85" s="2" t="s">
        <v>26</v>
      </c>
      <c r="E85" s="2" t="s">
        <v>32</v>
      </c>
      <c r="F85" s="2">
        <v>162</v>
      </c>
      <c r="G85" s="2">
        <v>142</v>
      </c>
      <c r="H85" s="2">
        <v>20</v>
      </c>
      <c r="I85" s="2">
        <v>658</v>
      </c>
      <c r="J85" s="2">
        <v>104</v>
      </c>
      <c r="K85" s="2">
        <v>0</v>
      </c>
      <c r="L85" s="2">
        <v>157132</v>
      </c>
      <c r="M85" s="2">
        <v>151864</v>
      </c>
      <c r="N85" s="2">
        <v>11</v>
      </c>
      <c r="O85" s="6">
        <v>162</v>
      </c>
      <c r="P85" s="2">
        <f>SUM(kip[[#This Row],[Orders_Delivered_OnTime]]/kip[[#This Row],[Orders_Placed]]*100)</f>
        <v>87.654320987654316</v>
      </c>
    </row>
    <row r="86" spans="1:16" x14ac:dyDescent="0.3">
      <c r="A86" s="3" t="s">
        <v>117</v>
      </c>
      <c r="B86" s="1" t="s">
        <v>108</v>
      </c>
      <c r="C86" s="1" t="s">
        <v>31</v>
      </c>
      <c r="D86" s="1" t="s">
        <v>28</v>
      </c>
      <c r="E86" s="1" t="s">
        <v>24</v>
      </c>
      <c r="F86" s="1">
        <v>119</v>
      </c>
      <c r="G86" s="1">
        <v>103</v>
      </c>
      <c r="H86" s="1">
        <v>16</v>
      </c>
      <c r="I86" s="1">
        <v>577</v>
      </c>
      <c r="J86" s="1">
        <v>221</v>
      </c>
      <c r="K86" s="1">
        <v>4</v>
      </c>
      <c r="L86" s="1">
        <v>219177</v>
      </c>
      <c r="M86" s="1">
        <v>219862</v>
      </c>
      <c r="N86" s="1">
        <v>8</v>
      </c>
      <c r="O86" s="5">
        <v>119</v>
      </c>
      <c r="P86" s="2">
        <f>SUM(kip[[#This Row],[Orders_Delivered_OnTime]]/kip[[#This Row],[Orders_Placed]]*100)</f>
        <v>86.554621848739501</v>
      </c>
    </row>
    <row r="87" spans="1:16" x14ac:dyDescent="0.3">
      <c r="A87" s="4" t="s">
        <v>118</v>
      </c>
      <c r="B87" s="2" t="s">
        <v>108</v>
      </c>
      <c r="C87" s="2" t="s">
        <v>38</v>
      </c>
      <c r="D87" s="2" t="s">
        <v>18</v>
      </c>
      <c r="E87" s="2" t="s">
        <v>29</v>
      </c>
      <c r="F87" s="2">
        <v>125</v>
      </c>
      <c r="G87" s="2">
        <v>109</v>
      </c>
      <c r="H87" s="2">
        <v>16</v>
      </c>
      <c r="I87" s="2">
        <v>477</v>
      </c>
      <c r="J87" s="2">
        <v>178</v>
      </c>
      <c r="K87" s="2">
        <v>2</v>
      </c>
      <c r="L87" s="2">
        <v>140434</v>
      </c>
      <c r="M87" s="2">
        <v>131473</v>
      </c>
      <c r="N87" s="2">
        <v>3</v>
      </c>
      <c r="O87" s="6">
        <v>125</v>
      </c>
      <c r="P87" s="2">
        <f>SUM(kip[[#This Row],[Orders_Delivered_OnTime]]/kip[[#This Row],[Orders_Placed]]*100)</f>
        <v>87.2</v>
      </c>
    </row>
    <row r="88" spans="1:16" x14ac:dyDescent="0.3">
      <c r="A88" s="3" t="s">
        <v>119</v>
      </c>
      <c r="B88" s="1" t="s">
        <v>108</v>
      </c>
      <c r="C88" s="1" t="s">
        <v>38</v>
      </c>
      <c r="D88" s="1" t="s">
        <v>21</v>
      </c>
      <c r="E88" s="1" t="s">
        <v>29</v>
      </c>
      <c r="F88" s="1">
        <v>95</v>
      </c>
      <c r="G88" s="1">
        <v>84</v>
      </c>
      <c r="H88" s="1">
        <v>11</v>
      </c>
      <c r="I88" s="1">
        <v>389</v>
      </c>
      <c r="J88" s="1">
        <v>149</v>
      </c>
      <c r="K88" s="1">
        <v>1</v>
      </c>
      <c r="L88" s="1">
        <v>206929</v>
      </c>
      <c r="M88" s="1">
        <v>203400</v>
      </c>
      <c r="N88" s="1">
        <v>4</v>
      </c>
      <c r="O88" s="5">
        <v>95</v>
      </c>
      <c r="P88" s="2">
        <f>SUM(kip[[#This Row],[Orders_Delivered_OnTime]]/kip[[#This Row],[Orders_Placed]]*100)</f>
        <v>88.421052631578945</v>
      </c>
    </row>
    <row r="89" spans="1:16" x14ac:dyDescent="0.3">
      <c r="A89" s="4" t="s">
        <v>120</v>
      </c>
      <c r="B89" s="2" t="s">
        <v>108</v>
      </c>
      <c r="C89" s="2" t="s">
        <v>38</v>
      </c>
      <c r="D89" s="2" t="s">
        <v>23</v>
      </c>
      <c r="E89" s="2" t="s">
        <v>19</v>
      </c>
      <c r="F89" s="2">
        <v>186</v>
      </c>
      <c r="G89" s="2">
        <v>139</v>
      </c>
      <c r="H89" s="2">
        <v>47</v>
      </c>
      <c r="I89" s="2">
        <v>432</v>
      </c>
      <c r="J89" s="2">
        <v>192</v>
      </c>
      <c r="K89" s="2">
        <v>1</v>
      </c>
      <c r="L89" s="2">
        <v>159237</v>
      </c>
      <c r="M89" s="2">
        <v>143989</v>
      </c>
      <c r="N89" s="2">
        <v>8</v>
      </c>
      <c r="O89" s="6">
        <v>186</v>
      </c>
      <c r="P89" s="2">
        <f>SUM(kip[[#This Row],[Orders_Delivered_OnTime]]/kip[[#This Row],[Orders_Placed]]*100)</f>
        <v>74.731182795698928</v>
      </c>
    </row>
    <row r="90" spans="1:16" x14ac:dyDescent="0.3">
      <c r="A90" s="3" t="s">
        <v>121</v>
      </c>
      <c r="B90" s="1" t="s">
        <v>108</v>
      </c>
      <c r="C90" s="1" t="s">
        <v>38</v>
      </c>
      <c r="D90" s="1" t="s">
        <v>26</v>
      </c>
      <c r="E90" s="1" t="s">
        <v>24</v>
      </c>
      <c r="F90" s="1">
        <v>115</v>
      </c>
      <c r="G90" s="1">
        <v>81</v>
      </c>
      <c r="H90" s="1">
        <v>34</v>
      </c>
      <c r="I90" s="1">
        <v>255</v>
      </c>
      <c r="J90" s="1">
        <v>241</v>
      </c>
      <c r="K90" s="1">
        <v>2</v>
      </c>
      <c r="L90" s="1">
        <v>113103</v>
      </c>
      <c r="M90" s="1">
        <v>123436</v>
      </c>
      <c r="N90" s="1">
        <v>7</v>
      </c>
      <c r="O90" s="5">
        <v>115</v>
      </c>
      <c r="P90" s="2">
        <f>SUM(kip[[#This Row],[Orders_Delivered_OnTime]]/kip[[#This Row],[Orders_Placed]]*100)</f>
        <v>70.434782608695656</v>
      </c>
    </row>
    <row r="91" spans="1:16" x14ac:dyDescent="0.3">
      <c r="A91" s="4" t="s">
        <v>122</v>
      </c>
      <c r="B91" s="2" t="s">
        <v>108</v>
      </c>
      <c r="C91" s="2" t="s">
        <v>38</v>
      </c>
      <c r="D91" s="2" t="s">
        <v>28</v>
      </c>
      <c r="E91" s="2" t="s">
        <v>19</v>
      </c>
      <c r="F91" s="2">
        <v>191</v>
      </c>
      <c r="G91" s="2">
        <v>134</v>
      </c>
      <c r="H91" s="2">
        <v>57</v>
      </c>
      <c r="I91" s="2">
        <v>491</v>
      </c>
      <c r="J91" s="2">
        <v>220</v>
      </c>
      <c r="K91" s="2">
        <v>3</v>
      </c>
      <c r="L91" s="2">
        <v>195466</v>
      </c>
      <c r="M91" s="2">
        <v>195898</v>
      </c>
      <c r="N91" s="2">
        <v>1</v>
      </c>
      <c r="O91" s="6">
        <v>191</v>
      </c>
      <c r="P91" s="2">
        <f>SUM(kip[[#This Row],[Orders_Delivered_OnTime]]/kip[[#This Row],[Orders_Placed]]*100)</f>
        <v>70.157068062827221</v>
      </c>
    </row>
    <row r="92" spans="1:16" x14ac:dyDescent="0.3">
      <c r="A92" s="3" t="s">
        <v>123</v>
      </c>
      <c r="B92" s="1" t="s">
        <v>108</v>
      </c>
      <c r="C92" s="1" t="s">
        <v>44</v>
      </c>
      <c r="D92" s="1" t="s">
        <v>18</v>
      </c>
      <c r="E92" s="1" t="s">
        <v>29</v>
      </c>
      <c r="F92" s="1">
        <v>200</v>
      </c>
      <c r="G92" s="1">
        <v>183</v>
      </c>
      <c r="H92" s="1">
        <v>17</v>
      </c>
      <c r="I92" s="1">
        <v>316</v>
      </c>
      <c r="J92" s="1">
        <v>116</v>
      </c>
      <c r="K92" s="1">
        <v>3</v>
      </c>
      <c r="L92" s="1">
        <v>208908</v>
      </c>
      <c r="M92" s="1">
        <v>192660</v>
      </c>
      <c r="N92" s="1">
        <v>1</v>
      </c>
      <c r="O92" s="5">
        <v>200</v>
      </c>
      <c r="P92" s="2">
        <f>SUM(kip[[#This Row],[Orders_Delivered_OnTime]]/kip[[#This Row],[Orders_Placed]]*100)</f>
        <v>91.5</v>
      </c>
    </row>
    <row r="93" spans="1:16" x14ac:dyDescent="0.3">
      <c r="A93" s="4" t="s">
        <v>124</v>
      </c>
      <c r="B93" s="2" t="s">
        <v>108</v>
      </c>
      <c r="C93" s="2" t="s">
        <v>44</v>
      </c>
      <c r="D93" s="2" t="s">
        <v>21</v>
      </c>
      <c r="E93" s="2" t="s">
        <v>24</v>
      </c>
      <c r="F93" s="2">
        <v>99</v>
      </c>
      <c r="G93" s="2">
        <v>89</v>
      </c>
      <c r="H93" s="2">
        <v>10</v>
      </c>
      <c r="I93" s="2">
        <v>511</v>
      </c>
      <c r="J93" s="2">
        <v>121</v>
      </c>
      <c r="K93" s="2">
        <v>1</v>
      </c>
      <c r="L93" s="2">
        <v>111051</v>
      </c>
      <c r="M93" s="2">
        <v>118538</v>
      </c>
      <c r="N93" s="2">
        <v>6</v>
      </c>
      <c r="O93" s="6">
        <v>99</v>
      </c>
      <c r="P93" s="2">
        <f>SUM(kip[[#This Row],[Orders_Delivered_OnTime]]/kip[[#This Row],[Orders_Placed]]*100)</f>
        <v>89.898989898989896</v>
      </c>
    </row>
    <row r="94" spans="1:16" x14ac:dyDescent="0.3">
      <c r="A94" s="3" t="s">
        <v>125</v>
      </c>
      <c r="B94" s="1" t="s">
        <v>108</v>
      </c>
      <c r="C94" s="1" t="s">
        <v>44</v>
      </c>
      <c r="D94" s="1" t="s">
        <v>23</v>
      </c>
      <c r="E94" s="1" t="s">
        <v>24</v>
      </c>
      <c r="F94" s="1">
        <v>179</v>
      </c>
      <c r="G94" s="1">
        <v>148</v>
      </c>
      <c r="H94" s="1">
        <v>31</v>
      </c>
      <c r="I94" s="1">
        <v>661</v>
      </c>
      <c r="J94" s="1">
        <v>213</v>
      </c>
      <c r="K94" s="1">
        <v>2</v>
      </c>
      <c r="L94" s="1">
        <v>234278</v>
      </c>
      <c r="M94" s="1">
        <v>280432</v>
      </c>
      <c r="N94" s="1">
        <v>4</v>
      </c>
      <c r="O94" s="5">
        <v>179</v>
      </c>
      <c r="P94" s="2">
        <f>SUM(kip[[#This Row],[Orders_Delivered_OnTime]]/kip[[#This Row],[Orders_Placed]]*100)</f>
        <v>82.681564245810051</v>
      </c>
    </row>
    <row r="95" spans="1:16" x14ac:dyDescent="0.3">
      <c r="A95" s="4" t="s">
        <v>126</v>
      </c>
      <c r="B95" s="2" t="s">
        <v>108</v>
      </c>
      <c r="C95" s="2" t="s">
        <v>44</v>
      </c>
      <c r="D95" s="2" t="s">
        <v>26</v>
      </c>
      <c r="E95" s="2" t="s">
        <v>19</v>
      </c>
      <c r="F95" s="2">
        <v>158</v>
      </c>
      <c r="G95" s="2">
        <v>148</v>
      </c>
      <c r="H95" s="2">
        <v>10</v>
      </c>
      <c r="I95" s="2">
        <v>301</v>
      </c>
      <c r="J95" s="2">
        <v>295</v>
      </c>
      <c r="K95" s="2">
        <v>1</v>
      </c>
      <c r="L95" s="2">
        <v>243975</v>
      </c>
      <c r="M95" s="2">
        <v>235022</v>
      </c>
      <c r="N95" s="2">
        <v>10</v>
      </c>
      <c r="O95" s="6">
        <v>158</v>
      </c>
      <c r="P95" s="2">
        <f>SUM(kip[[#This Row],[Orders_Delivered_OnTime]]/kip[[#This Row],[Orders_Placed]]*100)</f>
        <v>93.670886075949369</v>
      </c>
    </row>
    <row r="96" spans="1:16" x14ac:dyDescent="0.3">
      <c r="A96" s="3" t="s">
        <v>127</v>
      </c>
      <c r="B96" s="1" t="s">
        <v>108</v>
      </c>
      <c r="C96" s="1" t="s">
        <v>44</v>
      </c>
      <c r="D96" s="1" t="s">
        <v>28</v>
      </c>
      <c r="E96" s="1" t="s">
        <v>19</v>
      </c>
      <c r="F96" s="1">
        <v>100</v>
      </c>
      <c r="G96" s="1">
        <v>75</v>
      </c>
      <c r="H96" s="1">
        <v>25</v>
      </c>
      <c r="I96" s="1">
        <v>765</v>
      </c>
      <c r="J96" s="1">
        <v>119</v>
      </c>
      <c r="K96" s="1">
        <v>1</v>
      </c>
      <c r="L96" s="1">
        <v>80701</v>
      </c>
      <c r="M96" s="1">
        <v>82521</v>
      </c>
      <c r="N96" s="1">
        <v>7</v>
      </c>
      <c r="O96" s="5">
        <v>100</v>
      </c>
      <c r="P96" s="2">
        <f>SUM(kip[[#This Row],[Orders_Delivered_OnTime]]/kip[[#This Row],[Orders_Placed]]*100)</f>
        <v>75</v>
      </c>
    </row>
    <row r="97" spans="1:16" x14ac:dyDescent="0.3">
      <c r="A97" s="4" t="s">
        <v>128</v>
      </c>
      <c r="B97" s="2" t="s">
        <v>108</v>
      </c>
      <c r="C97" s="2" t="s">
        <v>50</v>
      </c>
      <c r="D97" s="2" t="s">
        <v>18</v>
      </c>
      <c r="E97" s="2" t="s">
        <v>29</v>
      </c>
      <c r="F97" s="2">
        <v>84</v>
      </c>
      <c r="G97" s="2">
        <v>63</v>
      </c>
      <c r="H97" s="2">
        <v>21</v>
      </c>
      <c r="I97" s="2">
        <v>489</v>
      </c>
      <c r="J97" s="2">
        <v>279</v>
      </c>
      <c r="K97" s="2">
        <v>3</v>
      </c>
      <c r="L97" s="2">
        <v>98659</v>
      </c>
      <c r="M97" s="2">
        <v>109138</v>
      </c>
      <c r="N97" s="2">
        <v>2</v>
      </c>
      <c r="O97" s="6">
        <v>84</v>
      </c>
      <c r="P97" s="2">
        <f>SUM(kip[[#This Row],[Orders_Delivered_OnTime]]/kip[[#This Row],[Orders_Placed]]*100)</f>
        <v>75</v>
      </c>
    </row>
    <row r="98" spans="1:16" x14ac:dyDescent="0.3">
      <c r="A98" s="3" t="s">
        <v>129</v>
      </c>
      <c r="B98" s="1" t="s">
        <v>108</v>
      </c>
      <c r="C98" s="1" t="s">
        <v>50</v>
      </c>
      <c r="D98" s="1" t="s">
        <v>21</v>
      </c>
      <c r="E98" s="1" t="s">
        <v>24</v>
      </c>
      <c r="F98" s="1">
        <v>134</v>
      </c>
      <c r="G98" s="1">
        <v>97</v>
      </c>
      <c r="H98" s="1">
        <v>37</v>
      </c>
      <c r="I98" s="1">
        <v>430</v>
      </c>
      <c r="J98" s="1">
        <v>265</v>
      </c>
      <c r="K98" s="1">
        <v>1</v>
      </c>
      <c r="L98" s="1">
        <v>149633</v>
      </c>
      <c r="M98" s="1">
        <v>171777</v>
      </c>
      <c r="N98" s="1">
        <v>1</v>
      </c>
      <c r="O98" s="5">
        <v>134</v>
      </c>
      <c r="P98" s="2">
        <f>SUM(kip[[#This Row],[Orders_Delivered_OnTime]]/kip[[#This Row],[Orders_Placed]]*100)</f>
        <v>72.388059701492537</v>
      </c>
    </row>
    <row r="99" spans="1:16" x14ac:dyDescent="0.3">
      <c r="A99" s="4" t="s">
        <v>130</v>
      </c>
      <c r="B99" s="2" t="s">
        <v>108</v>
      </c>
      <c r="C99" s="2" t="s">
        <v>50</v>
      </c>
      <c r="D99" s="2" t="s">
        <v>23</v>
      </c>
      <c r="E99" s="2" t="s">
        <v>19</v>
      </c>
      <c r="F99" s="2">
        <v>101</v>
      </c>
      <c r="G99" s="2">
        <v>90</v>
      </c>
      <c r="H99" s="2">
        <v>11</v>
      </c>
      <c r="I99" s="2">
        <v>782</v>
      </c>
      <c r="J99" s="2">
        <v>173</v>
      </c>
      <c r="K99" s="2">
        <v>3</v>
      </c>
      <c r="L99" s="2">
        <v>112598</v>
      </c>
      <c r="M99" s="2">
        <v>117170</v>
      </c>
      <c r="N99" s="2">
        <v>4</v>
      </c>
      <c r="O99" s="6">
        <v>101</v>
      </c>
      <c r="P99" s="2">
        <f>SUM(kip[[#This Row],[Orders_Delivered_OnTime]]/kip[[#This Row],[Orders_Placed]]*100)</f>
        <v>89.10891089108911</v>
      </c>
    </row>
    <row r="100" spans="1:16" x14ac:dyDescent="0.3">
      <c r="A100" s="3" t="s">
        <v>131</v>
      </c>
      <c r="B100" s="1" t="s">
        <v>108</v>
      </c>
      <c r="C100" s="1" t="s">
        <v>50</v>
      </c>
      <c r="D100" s="1" t="s">
        <v>26</v>
      </c>
      <c r="E100" s="1" t="s">
        <v>32</v>
      </c>
      <c r="F100" s="1">
        <v>200</v>
      </c>
      <c r="G100" s="1">
        <v>153</v>
      </c>
      <c r="H100" s="1">
        <v>47</v>
      </c>
      <c r="I100" s="1">
        <v>752</v>
      </c>
      <c r="J100" s="1">
        <v>226</v>
      </c>
      <c r="K100" s="1">
        <v>3</v>
      </c>
      <c r="L100" s="1">
        <v>101087</v>
      </c>
      <c r="M100" s="1">
        <v>109114</v>
      </c>
      <c r="N100" s="1">
        <v>13</v>
      </c>
      <c r="O100" s="5">
        <v>200</v>
      </c>
      <c r="P100" s="2">
        <f>SUM(kip[[#This Row],[Orders_Delivered_OnTime]]/kip[[#This Row],[Orders_Placed]]*100)</f>
        <v>76.5</v>
      </c>
    </row>
    <row r="101" spans="1:16" x14ac:dyDescent="0.3">
      <c r="A101" s="4" t="s">
        <v>132</v>
      </c>
      <c r="B101" s="2" t="s">
        <v>108</v>
      </c>
      <c r="C101" s="2" t="s">
        <v>50</v>
      </c>
      <c r="D101" s="2" t="s">
        <v>28</v>
      </c>
      <c r="E101" s="2" t="s">
        <v>29</v>
      </c>
      <c r="F101" s="2">
        <v>157</v>
      </c>
      <c r="G101" s="2">
        <v>119</v>
      </c>
      <c r="H101" s="2">
        <v>38</v>
      </c>
      <c r="I101" s="2">
        <v>293</v>
      </c>
      <c r="J101" s="2">
        <v>158</v>
      </c>
      <c r="K101" s="2">
        <v>5</v>
      </c>
      <c r="L101" s="2">
        <v>230784</v>
      </c>
      <c r="M101" s="2">
        <v>248355</v>
      </c>
      <c r="N101" s="2">
        <v>0</v>
      </c>
      <c r="O101" s="6">
        <v>157</v>
      </c>
      <c r="P101" s="2">
        <f>SUM(kip[[#This Row],[Orders_Delivered_OnTime]]/kip[[#This Row],[Orders_Placed]]*100)</f>
        <v>75.796178343949052</v>
      </c>
    </row>
    <row r="102" spans="1:16" x14ac:dyDescent="0.3">
      <c r="A102" s="3" t="s">
        <v>133</v>
      </c>
      <c r="B102" s="1" t="s">
        <v>134</v>
      </c>
      <c r="C102" s="1" t="s">
        <v>17</v>
      </c>
      <c r="D102" s="1" t="s">
        <v>18</v>
      </c>
      <c r="E102" s="1" t="s">
        <v>29</v>
      </c>
      <c r="F102" s="1">
        <v>153</v>
      </c>
      <c r="G102" s="1">
        <v>108</v>
      </c>
      <c r="H102" s="1">
        <v>45</v>
      </c>
      <c r="I102" s="1">
        <v>379</v>
      </c>
      <c r="J102" s="1">
        <v>220</v>
      </c>
      <c r="K102" s="1">
        <v>4</v>
      </c>
      <c r="L102" s="1">
        <v>195927</v>
      </c>
      <c r="M102" s="1">
        <v>230179</v>
      </c>
      <c r="N102" s="1">
        <v>2</v>
      </c>
      <c r="O102" s="5">
        <v>153</v>
      </c>
      <c r="P102" s="2">
        <f>SUM(kip[[#This Row],[Orders_Delivered_OnTime]]/kip[[#This Row],[Orders_Placed]]*100)</f>
        <v>70.588235294117652</v>
      </c>
    </row>
    <row r="103" spans="1:16" x14ac:dyDescent="0.3">
      <c r="A103" s="4" t="s">
        <v>135</v>
      </c>
      <c r="B103" s="2" t="s">
        <v>134</v>
      </c>
      <c r="C103" s="2" t="s">
        <v>17</v>
      </c>
      <c r="D103" s="2" t="s">
        <v>21</v>
      </c>
      <c r="E103" s="2" t="s">
        <v>32</v>
      </c>
      <c r="F103" s="2">
        <v>161</v>
      </c>
      <c r="G103" s="2">
        <v>145</v>
      </c>
      <c r="H103" s="2">
        <v>16</v>
      </c>
      <c r="I103" s="2">
        <v>293</v>
      </c>
      <c r="J103" s="2">
        <v>220</v>
      </c>
      <c r="K103" s="2">
        <v>2</v>
      </c>
      <c r="L103" s="2">
        <v>187046</v>
      </c>
      <c r="M103" s="2">
        <v>187044</v>
      </c>
      <c r="N103" s="2">
        <v>10</v>
      </c>
      <c r="O103" s="6">
        <v>161</v>
      </c>
      <c r="P103" s="2">
        <f>SUM(kip[[#This Row],[Orders_Delivered_OnTime]]/kip[[#This Row],[Orders_Placed]]*100)</f>
        <v>90.062111801242239</v>
      </c>
    </row>
    <row r="104" spans="1:16" x14ac:dyDescent="0.3">
      <c r="A104" s="3" t="s">
        <v>136</v>
      </c>
      <c r="B104" s="1" t="s">
        <v>134</v>
      </c>
      <c r="C104" s="1" t="s">
        <v>17</v>
      </c>
      <c r="D104" s="1" t="s">
        <v>23</v>
      </c>
      <c r="E104" s="1" t="s">
        <v>19</v>
      </c>
      <c r="F104" s="1">
        <v>189</v>
      </c>
      <c r="G104" s="1">
        <v>139</v>
      </c>
      <c r="H104" s="1">
        <v>50</v>
      </c>
      <c r="I104" s="1">
        <v>621</v>
      </c>
      <c r="J104" s="1">
        <v>277</v>
      </c>
      <c r="K104" s="1">
        <v>3</v>
      </c>
      <c r="L104" s="1">
        <v>155554</v>
      </c>
      <c r="M104" s="1">
        <v>170918</v>
      </c>
      <c r="N104" s="1">
        <v>12</v>
      </c>
      <c r="O104" s="5">
        <v>189</v>
      </c>
      <c r="P104" s="2">
        <f>SUM(kip[[#This Row],[Orders_Delivered_OnTime]]/kip[[#This Row],[Orders_Placed]]*100)</f>
        <v>73.544973544973544</v>
      </c>
    </row>
    <row r="105" spans="1:16" x14ac:dyDescent="0.3">
      <c r="A105" s="4" t="s">
        <v>137</v>
      </c>
      <c r="B105" s="2" t="s">
        <v>134</v>
      </c>
      <c r="C105" s="2" t="s">
        <v>17</v>
      </c>
      <c r="D105" s="2" t="s">
        <v>26</v>
      </c>
      <c r="E105" s="2" t="s">
        <v>19</v>
      </c>
      <c r="F105" s="2">
        <v>138</v>
      </c>
      <c r="G105" s="2">
        <v>99</v>
      </c>
      <c r="H105" s="2">
        <v>39</v>
      </c>
      <c r="I105" s="2">
        <v>458</v>
      </c>
      <c r="J105" s="2">
        <v>182</v>
      </c>
      <c r="K105" s="2">
        <v>0</v>
      </c>
      <c r="L105" s="2">
        <v>185952</v>
      </c>
      <c r="M105" s="2">
        <v>215606</v>
      </c>
      <c r="N105" s="2">
        <v>0</v>
      </c>
      <c r="O105" s="6">
        <v>138</v>
      </c>
      <c r="P105" s="2">
        <f>SUM(kip[[#This Row],[Orders_Delivered_OnTime]]/kip[[#This Row],[Orders_Placed]]*100)</f>
        <v>71.739130434782609</v>
      </c>
    </row>
    <row r="106" spans="1:16" x14ac:dyDescent="0.3">
      <c r="A106" s="3" t="s">
        <v>138</v>
      </c>
      <c r="B106" s="1" t="s">
        <v>134</v>
      </c>
      <c r="C106" s="1" t="s">
        <v>17</v>
      </c>
      <c r="D106" s="1" t="s">
        <v>28</v>
      </c>
      <c r="E106" s="1" t="s">
        <v>32</v>
      </c>
      <c r="F106" s="1">
        <v>132</v>
      </c>
      <c r="G106" s="1">
        <v>94</v>
      </c>
      <c r="H106" s="1">
        <v>38</v>
      </c>
      <c r="I106" s="1">
        <v>730</v>
      </c>
      <c r="J106" s="1">
        <v>192</v>
      </c>
      <c r="K106" s="1">
        <v>4</v>
      </c>
      <c r="L106" s="1">
        <v>210676</v>
      </c>
      <c r="M106" s="1">
        <v>229135</v>
      </c>
      <c r="N106" s="1">
        <v>0</v>
      </c>
      <c r="O106" s="5">
        <v>132</v>
      </c>
      <c r="P106" s="2">
        <f>SUM(kip[[#This Row],[Orders_Delivered_OnTime]]/kip[[#This Row],[Orders_Placed]]*100)</f>
        <v>71.212121212121218</v>
      </c>
    </row>
    <row r="107" spans="1:16" x14ac:dyDescent="0.3">
      <c r="A107" s="4" t="s">
        <v>139</v>
      </c>
      <c r="B107" s="2" t="s">
        <v>134</v>
      </c>
      <c r="C107" s="2" t="s">
        <v>31</v>
      </c>
      <c r="D107" s="2" t="s">
        <v>18</v>
      </c>
      <c r="E107" s="2" t="s">
        <v>24</v>
      </c>
      <c r="F107" s="2">
        <v>114</v>
      </c>
      <c r="G107" s="2">
        <v>95</v>
      </c>
      <c r="H107" s="2">
        <v>19</v>
      </c>
      <c r="I107" s="2">
        <v>494</v>
      </c>
      <c r="J107" s="2">
        <v>212</v>
      </c>
      <c r="K107" s="2">
        <v>5</v>
      </c>
      <c r="L107" s="2">
        <v>207064</v>
      </c>
      <c r="M107" s="2">
        <v>193900</v>
      </c>
      <c r="N107" s="2">
        <v>9</v>
      </c>
      <c r="O107" s="6">
        <v>114</v>
      </c>
      <c r="P107" s="2">
        <f>SUM(kip[[#This Row],[Orders_Delivered_OnTime]]/kip[[#This Row],[Orders_Placed]]*100)</f>
        <v>83.333333333333343</v>
      </c>
    </row>
    <row r="108" spans="1:16" x14ac:dyDescent="0.3">
      <c r="A108" s="3" t="s">
        <v>140</v>
      </c>
      <c r="B108" s="1" t="s">
        <v>134</v>
      </c>
      <c r="C108" s="1" t="s">
        <v>31</v>
      </c>
      <c r="D108" s="1" t="s">
        <v>21</v>
      </c>
      <c r="E108" s="1" t="s">
        <v>24</v>
      </c>
      <c r="F108" s="1">
        <v>170</v>
      </c>
      <c r="G108" s="1">
        <v>125</v>
      </c>
      <c r="H108" s="1">
        <v>45</v>
      </c>
      <c r="I108" s="1">
        <v>764</v>
      </c>
      <c r="J108" s="1">
        <v>103</v>
      </c>
      <c r="K108" s="1">
        <v>4</v>
      </c>
      <c r="L108" s="1">
        <v>186952</v>
      </c>
      <c r="M108" s="1">
        <v>173484</v>
      </c>
      <c r="N108" s="1">
        <v>13</v>
      </c>
      <c r="O108" s="5">
        <v>170</v>
      </c>
      <c r="P108" s="2">
        <f>SUM(kip[[#This Row],[Orders_Delivered_OnTime]]/kip[[#This Row],[Orders_Placed]]*100)</f>
        <v>73.529411764705884</v>
      </c>
    </row>
    <row r="109" spans="1:16" x14ac:dyDescent="0.3">
      <c r="A109" s="4" t="s">
        <v>141</v>
      </c>
      <c r="B109" s="2" t="s">
        <v>134</v>
      </c>
      <c r="C109" s="2" t="s">
        <v>31</v>
      </c>
      <c r="D109" s="2" t="s">
        <v>23</v>
      </c>
      <c r="E109" s="2" t="s">
        <v>19</v>
      </c>
      <c r="F109" s="2">
        <v>139</v>
      </c>
      <c r="G109" s="2">
        <v>130</v>
      </c>
      <c r="H109" s="2">
        <v>9</v>
      </c>
      <c r="I109" s="2">
        <v>357</v>
      </c>
      <c r="J109" s="2">
        <v>227</v>
      </c>
      <c r="K109" s="2">
        <v>5</v>
      </c>
      <c r="L109" s="2">
        <v>156509</v>
      </c>
      <c r="M109" s="2">
        <v>164751</v>
      </c>
      <c r="N109" s="2">
        <v>4</v>
      </c>
      <c r="O109" s="6">
        <v>139</v>
      </c>
      <c r="P109" s="2">
        <f>SUM(kip[[#This Row],[Orders_Delivered_OnTime]]/kip[[#This Row],[Orders_Placed]]*100)</f>
        <v>93.525179856115102</v>
      </c>
    </row>
    <row r="110" spans="1:16" x14ac:dyDescent="0.3">
      <c r="A110" s="3" t="s">
        <v>142</v>
      </c>
      <c r="B110" s="1" t="s">
        <v>134</v>
      </c>
      <c r="C110" s="1" t="s">
        <v>31</v>
      </c>
      <c r="D110" s="1" t="s">
        <v>26</v>
      </c>
      <c r="E110" s="1" t="s">
        <v>32</v>
      </c>
      <c r="F110" s="1">
        <v>186</v>
      </c>
      <c r="G110" s="1">
        <v>152</v>
      </c>
      <c r="H110" s="1">
        <v>34</v>
      </c>
      <c r="I110" s="1">
        <v>683</v>
      </c>
      <c r="J110" s="1">
        <v>162</v>
      </c>
      <c r="K110" s="1">
        <v>3</v>
      </c>
      <c r="L110" s="1">
        <v>224510</v>
      </c>
      <c r="M110" s="1">
        <v>211801</v>
      </c>
      <c r="N110" s="1">
        <v>3</v>
      </c>
      <c r="O110" s="5">
        <v>186</v>
      </c>
      <c r="P110" s="2">
        <f>SUM(kip[[#This Row],[Orders_Delivered_OnTime]]/kip[[#This Row],[Orders_Placed]]*100)</f>
        <v>81.72043010752688</v>
      </c>
    </row>
    <row r="111" spans="1:16" x14ac:dyDescent="0.3">
      <c r="A111" s="4" t="s">
        <v>143</v>
      </c>
      <c r="B111" s="2" t="s">
        <v>134</v>
      </c>
      <c r="C111" s="2" t="s">
        <v>31</v>
      </c>
      <c r="D111" s="2" t="s">
        <v>28</v>
      </c>
      <c r="E111" s="2" t="s">
        <v>24</v>
      </c>
      <c r="F111" s="2">
        <v>190</v>
      </c>
      <c r="G111" s="2">
        <v>136</v>
      </c>
      <c r="H111" s="2">
        <v>54</v>
      </c>
      <c r="I111" s="2">
        <v>624</v>
      </c>
      <c r="J111" s="2">
        <v>187</v>
      </c>
      <c r="K111" s="2">
        <v>4</v>
      </c>
      <c r="L111" s="2">
        <v>150037</v>
      </c>
      <c r="M111" s="2">
        <v>171967</v>
      </c>
      <c r="N111" s="2">
        <v>9</v>
      </c>
      <c r="O111" s="6">
        <v>190</v>
      </c>
      <c r="P111" s="2">
        <f>SUM(kip[[#This Row],[Orders_Delivered_OnTime]]/kip[[#This Row],[Orders_Placed]]*100)</f>
        <v>71.578947368421055</v>
      </c>
    </row>
    <row r="112" spans="1:16" x14ac:dyDescent="0.3">
      <c r="A112" s="3" t="s">
        <v>144</v>
      </c>
      <c r="B112" s="1" t="s">
        <v>134</v>
      </c>
      <c r="C112" s="1" t="s">
        <v>38</v>
      </c>
      <c r="D112" s="1" t="s">
        <v>18</v>
      </c>
      <c r="E112" s="1" t="s">
        <v>29</v>
      </c>
      <c r="F112" s="1">
        <v>187</v>
      </c>
      <c r="G112" s="1">
        <v>158</v>
      </c>
      <c r="H112" s="1">
        <v>29</v>
      </c>
      <c r="I112" s="1">
        <v>701</v>
      </c>
      <c r="J112" s="1">
        <v>138</v>
      </c>
      <c r="K112" s="1">
        <v>3</v>
      </c>
      <c r="L112" s="1">
        <v>221185</v>
      </c>
      <c r="M112" s="1">
        <v>231205</v>
      </c>
      <c r="N112" s="1">
        <v>5</v>
      </c>
      <c r="O112" s="5">
        <v>187</v>
      </c>
      <c r="P112" s="2">
        <f>SUM(kip[[#This Row],[Orders_Delivered_OnTime]]/kip[[#This Row],[Orders_Placed]]*100)</f>
        <v>84.491978609625676</v>
      </c>
    </row>
    <row r="113" spans="1:16" x14ac:dyDescent="0.3">
      <c r="A113" s="4" t="s">
        <v>145</v>
      </c>
      <c r="B113" s="2" t="s">
        <v>134</v>
      </c>
      <c r="C113" s="2" t="s">
        <v>38</v>
      </c>
      <c r="D113" s="2" t="s">
        <v>21</v>
      </c>
      <c r="E113" s="2" t="s">
        <v>32</v>
      </c>
      <c r="F113" s="2">
        <v>138</v>
      </c>
      <c r="G113" s="2">
        <v>128</v>
      </c>
      <c r="H113" s="2">
        <v>10</v>
      </c>
      <c r="I113" s="2">
        <v>393</v>
      </c>
      <c r="J113" s="2">
        <v>278</v>
      </c>
      <c r="K113" s="2">
        <v>1</v>
      </c>
      <c r="L113" s="2">
        <v>229893</v>
      </c>
      <c r="M113" s="2">
        <v>233316</v>
      </c>
      <c r="N113" s="2">
        <v>6</v>
      </c>
      <c r="O113" s="6">
        <v>138</v>
      </c>
      <c r="P113" s="2">
        <f>SUM(kip[[#This Row],[Orders_Delivered_OnTime]]/kip[[#This Row],[Orders_Placed]]*100)</f>
        <v>92.753623188405797</v>
      </c>
    </row>
    <row r="114" spans="1:16" x14ac:dyDescent="0.3">
      <c r="A114" s="3" t="s">
        <v>146</v>
      </c>
      <c r="B114" s="1" t="s">
        <v>134</v>
      </c>
      <c r="C114" s="1" t="s">
        <v>38</v>
      </c>
      <c r="D114" s="1" t="s">
        <v>23</v>
      </c>
      <c r="E114" s="1" t="s">
        <v>19</v>
      </c>
      <c r="F114" s="1">
        <v>120</v>
      </c>
      <c r="G114" s="1">
        <v>106</v>
      </c>
      <c r="H114" s="1">
        <v>14</v>
      </c>
      <c r="I114" s="1">
        <v>590</v>
      </c>
      <c r="J114" s="1">
        <v>198</v>
      </c>
      <c r="K114" s="1">
        <v>5</v>
      </c>
      <c r="L114" s="1">
        <v>119873</v>
      </c>
      <c r="M114" s="1">
        <v>125698</v>
      </c>
      <c r="N114" s="1">
        <v>0</v>
      </c>
      <c r="O114" s="5">
        <v>120</v>
      </c>
      <c r="P114" s="2">
        <f>SUM(kip[[#This Row],[Orders_Delivered_OnTime]]/kip[[#This Row],[Orders_Placed]]*100)</f>
        <v>88.333333333333329</v>
      </c>
    </row>
    <row r="115" spans="1:16" x14ac:dyDescent="0.3">
      <c r="A115" s="4" t="s">
        <v>147</v>
      </c>
      <c r="B115" s="2" t="s">
        <v>134</v>
      </c>
      <c r="C115" s="2" t="s">
        <v>38</v>
      </c>
      <c r="D115" s="2" t="s">
        <v>26</v>
      </c>
      <c r="E115" s="2" t="s">
        <v>24</v>
      </c>
      <c r="F115" s="2">
        <v>144</v>
      </c>
      <c r="G115" s="2">
        <v>135</v>
      </c>
      <c r="H115" s="2">
        <v>9</v>
      </c>
      <c r="I115" s="2">
        <v>539</v>
      </c>
      <c r="J115" s="2">
        <v>125</v>
      </c>
      <c r="K115" s="2">
        <v>3</v>
      </c>
      <c r="L115" s="2">
        <v>106138</v>
      </c>
      <c r="M115" s="2">
        <v>112271</v>
      </c>
      <c r="N115" s="2">
        <v>7</v>
      </c>
      <c r="O115" s="6">
        <v>144</v>
      </c>
      <c r="P115" s="2">
        <f>SUM(kip[[#This Row],[Orders_Delivered_OnTime]]/kip[[#This Row],[Orders_Placed]]*100)</f>
        <v>93.75</v>
      </c>
    </row>
    <row r="116" spans="1:16" x14ac:dyDescent="0.3">
      <c r="A116" s="3" t="s">
        <v>148</v>
      </c>
      <c r="B116" s="1" t="s">
        <v>134</v>
      </c>
      <c r="C116" s="1" t="s">
        <v>38</v>
      </c>
      <c r="D116" s="1" t="s">
        <v>28</v>
      </c>
      <c r="E116" s="1" t="s">
        <v>19</v>
      </c>
      <c r="F116" s="1">
        <v>172</v>
      </c>
      <c r="G116" s="1">
        <v>126</v>
      </c>
      <c r="H116" s="1">
        <v>46</v>
      </c>
      <c r="I116" s="1">
        <v>358</v>
      </c>
      <c r="J116" s="1">
        <v>119</v>
      </c>
      <c r="K116" s="1">
        <v>3</v>
      </c>
      <c r="L116" s="1">
        <v>149474</v>
      </c>
      <c r="M116" s="1">
        <v>149708</v>
      </c>
      <c r="N116" s="1">
        <v>11</v>
      </c>
      <c r="O116" s="5">
        <v>172</v>
      </c>
      <c r="P116" s="2">
        <f>SUM(kip[[#This Row],[Orders_Delivered_OnTime]]/kip[[#This Row],[Orders_Placed]]*100)</f>
        <v>73.255813953488371</v>
      </c>
    </row>
    <row r="117" spans="1:16" x14ac:dyDescent="0.3">
      <c r="A117" s="4" t="s">
        <v>149</v>
      </c>
      <c r="B117" s="2" t="s">
        <v>134</v>
      </c>
      <c r="C117" s="2" t="s">
        <v>44</v>
      </c>
      <c r="D117" s="2" t="s">
        <v>18</v>
      </c>
      <c r="E117" s="2" t="s">
        <v>32</v>
      </c>
      <c r="F117" s="2">
        <v>163</v>
      </c>
      <c r="G117" s="2">
        <v>117</v>
      </c>
      <c r="H117" s="2">
        <v>46</v>
      </c>
      <c r="I117" s="2">
        <v>536</v>
      </c>
      <c r="J117" s="2">
        <v>272</v>
      </c>
      <c r="K117" s="2">
        <v>4</v>
      </c>
      <c r="L117" s="2">
        <v>179617</v>
      </c>
      <c r="M117" s="2">
        <v>213069</v>
      </c>
      <c r="N117" s="2">
        <v>10</v>
      </c>
      <c r="O117" s="6">
        <v>163</v>
      </c>
      <c r="P117" s="2">
        <f>SUM(kip[[#This Row],[Orders_Delivered_OnTime]]/kip[[#This Row],[Orders_Placed]]*100)</f>
        <v>71.779141104294482</v>
      </c>
    </row>
    <row r="118" spans="1:16" x14ac:dyDescent="0.3">
      <c r="A118" s="3" t="s">
        <v>150</v>
      </c>
      <c r="B118" s="1" t="s">
        <v>134</v>
      </c>
      <c r="C118" s="1" t="s">
        <v>44</v>
      </c>
      <c r="D118" s="1" t="s">
        <v>21</v>
      </c>
      <c r="E118" s="1" t="s">
        <v>32</v>
      </c>
      <c r="F118" s="1">
        <v>191</v>
      </c>
      <c r="G118" s="1">
        <v>159</v>
      </c>
      <c r="H118" s="1">
        <v>32</v>
      </c>
      <c r="I118" s="1">
        <v>270</v>
      </c>
      <c r="J118" s="1">
        <v>160</v>
      </c>
      <c r="K118" s="1">
        <v>5</v>
      </c>
      <c r="L118" s="1">
        <v>155334</v>
      </c>
      <c r="M118" s="1">
        <v>186280</v>
      </c>
      <c r="N118" s="1">
        <v>2</v>
      </c>
      <c r="O118" s="5">
        <v>191</v>
      </c>
      <c r="P118" s="2">
        <f>SUM(kip[[#This Row],[Orders_Delivered_OnTime]]/kip[[#This Row],[Orders_Placed]]*100)</f>
        <v>83.246073298429323</v>
      </c>
    </row>
    <row r="119" spans="1:16" x14ac:dyDescent="0.3">
      <c r="A119" s="4" t="s">
        <v>151</v>
      </c>
      <c r="B119" s="2" t="s">
        <v>134</v>
      </c>
      <c r="C119" s="2" t="s">
        <v>44</v>
      </c>
      <c r="D119" s="2" t="s">
        <v>23</v>
      </c>
      <c r="E119" s="2" t="s">
        <v>32</v>
      </c>
      <c r="F119" s="2">
        <v>92</v>
      </c>
      <c r="G119" s="2">
        <v>81</v>
      </c>
      <c r="H119" s="2">
        <v>11</v>
      </c>
      <c r="I119" s="2">
        <v>302</v>
      </c>
      <c r="J119" s="2">
        <v>213</v>
      </c>
      <c r="K119" s="2">
        <v>1</v>
      </c>
      <c r="L119" s="2">
        <v>158503</v>
      </c>
      <c r="M119" s="2">
        <v>185611</v>
      </c>
      <c r="N119" s="2">
        <v>0</v>
      </c>
      <c r="O119" s="6">
        <v>92</v>
      </c>
      <c r="P119" s="2">
        <f>SUM(kip[[#This Row],[Orders_Delivered_OnTime]]/kip[[#This Row],[Orders_Placed]]*100)</f>
        <v>88.043478260869563</v>
      </c>
    </row>
    <row r="120" spans="1:16" x14ac:dyDescent="0.3">
      <c r="A120" s="3" t="s">
        <v>152</v>
      </c>
      <c r="B120" s="1" t="s">
        <v>134</v>
      </c>
      <c r="C120" s="1" t="s">
        <v>44</v>
      </c>
      <c r="D120" s="1" t="s">
        <v>26</v>
      </c>
      <c r="E120" s="1" t="s">
        <v>29</v>
      </c>
      <c r="F120" s="1">
        <v>181</v>
      </c>
      <c r="G120" s="1">
        <v>129</v>
      </c>
      <c r="H120" s="1">
        <v>52</v>
      </c>
      <c r="I120" s="1">
        <v>567</v>
      </c>
      <c r="J120" s="1">
        <v>195</v>
      </c>
      <c r="K120" s="1">
        <v>3</v>
      </c>
      <c r="L120" s="1">
        <v>118160</v>
      </c>
      <c r="M120" s="1">
        <v>115000</v>
      </c>
      <c r="N120" s="1">
        <v>6</v>
      </c>
      <c r="O120" s="5">
        <v>181</v>
      </c>
      <c r="P120" s="2">
        <f>SUM(kip[[#This Row],[Orders_Delivered_OnTime]]/kip[[#This Row],[Orders_Placed]]*100)</f>
        <v>71.270718232044189</v>
      </c>
    </row>
    <row r="121" spans="1:16" x14ac:dyDescent="0.3">
      <c r="A121" s="4" t="s">
        <v>153</v>
      </c>
      <c r="B121" s="2" t="s">
        <v>134</v>
      </c>
      <c r="C121" s="2" t="s">
        <v>44</v>
      </c>
      <c r="D121" s="2" t="s">
        <v>28</v>
      </c>
      <c r="E121" s="2" t="s">
        <v>24</v>
      </c>
      <c r="F121" s="2">
        <v>101</v>
      </c>
      <c r="G121" s="2">
        <v>75</v>
      </c>
      <c r="H121" s="2">
        <v>26</v>
      </c>
      <c r="I121" s="2">
        <v>591</v>
      </c>
      <c r="J121" s="2">
        <v>258</v>
      </c>
      <c r="K121" s="2">
        <v>5</v>
      </c>
      <c r="L121" s="2">
        <v>143132</v>
      </c>
      <c r="M121" s="2">
        <v>150188</v>
      </c>
      <c r="N121" s="2">
        <v>2</v>
      </c>
      <c r="O121" s="6">
        <v>101</v>
      </c>
      <c r="P121" s="2">
        <f>SUM(kip[[#This Row],[Orders_Delivered_OnTime]]/kip[[#This Row],[Orders_Placed]]*100)</f>
        <v>74.257425742574256</v>
      </c>
    </row>
    <row r="122" spans="1:16" x14ac:dyDescent="0.3">
      <c r="A122" s="3" t="s">
        <v>154</v>
      </c>
      <c r="B122" s="1" t="s">
        <v>134</v>
      </c>
      <c r="C122" s="1" t="s">
        <v>50</v>
      </c>
      <c r="D122" s="1" t="s">
        <v>18</v>
      </c>
      <c r="E122" s="1" t="s">
        <v>24</v>
      </c>
      <c r="F122" s="1">
        <v>139</v>
      </c>
      <c r="G122" s="1">
        <v>119</v>
      </c>
      <c r="H122" s="1">
        <v>20</v>
      </c>
      <c r="I122" s="1">
        <v>670</v>
      </c>
      <c r="J122" s="1">
        <v>165</v>
      </c>
      <c r="K122" s="1">
        <v>5</v>
      </c>
      <c r="L122" s="1">
        <v>82463</v>
      </c>
      <c r="M122" s="1">
        <v>96454</v>
      </c>
      <c r="N122" s="1">
        <v>7</v>
      </c>
      <c r="O122" s="5">
        <v>139</v>
      </c>
      <c r="P122" s="2">
        <f>SUM(kip[[#This Row],[Orders_Delivered_OnTime]]/kip[[#This Row],[Orders_Placed]]*100)</f>
        <v>85.611510791366911</v>
      </c>
    </row>
    <row r="123" spans="1:16" x14ac:dyDescent="0.3">
      <c r="A123" s="4" t="s">
        <v>155</v>
      </c>
      <c r="B123" s="2" t="s">
        <v>134</v>
      </c>
      <c r="C123" s="2" t="s">
        <v>50</v>
      </c>
      <c r="D123" s="2" t="s">
        <v>21</v>
      </c>
      <c r="E123" s="2" t="s">
        <v>29</v>
      </c>
      <c r="F123" s="2">
        <v>166</v>
      </c>
      <c r="G123" s="2">
        <v>138</v>
      </c>
      <c r="H123" s="2">
        <v>28</v>
      </c>
      <c r="I123" s="2">
        <v>275</v>
      </c>
      <c r="J123" s="2">
        <v>213</v>
      </c>
      <c r="K123" s="2">
        <v>2</v>
      </c>
      <c r="L123" s="2">
        <v>234028</v>
      </c>
      <c r="M123" s="2">
        <v>231628</v>
      </c>
      <c r="N123" s="2">
        <v>6</v>
      </c>
      <c r="O123" s="6">
        <v>166</v>
      </c>
      <c r="P123" s="2">
        <f>SUM(kip[[#This Row],[Orders_Delivered_OnTime]]/kip[[#This Row],[Orders_Placed]]*100)</f>
        <v>83.132530120481931</v>
      </c>
    </row>
    <row r="124" spans="1:16" x14ac:dyDescent="0.3">
      <c r="A124" s="3" t="s">
        <v>156</v>
      </c>
      <c r="B124" s="1" t="s">
        <v>134</v>
      </c>
      <c r="C124" s="1" t="s">
        <v>50</v>
      </c>
      <c r="D124" s="1" t="s">
        <v>23</v>
      </c>
      <c r="E124" s="1" t="s">
        <v>29</v>
      </c>
      <c r="F124" s="1">
        <v>138</v>
      </c>
      <c r="G124" s="1">
        <v>125</v>
      </c>
      <c r="H124" s="1">
        <v>13</v>
      </c>
      <c r="I124" s="1">
        <v>403</v>
      </c>
      <c r="J124" s="1">
        <v>198</v>
      </c>
      <c r="K124" s="1">
        <v>3</v>
      </c>
      <c r="L124" s="1">
        <v>107958</v>
      </c>
      <c r="M124" s="1">
        <v>104844</v>
      </c>
      <c r="N124" s="1">
        <v>9</v>
      </c>
      <c r="O124" s="5">
        <v>138</v>
      </c>
      <c r="P124" s="2">
        <f>SUM(kip[[#This Row],[Orders_Delivered_OnTime]]/kip[[#This Row],[Orders_Placed]]*100)</f>
        <v>90.579710144927532</v>
      </c>
    </row>
    <row r="125" spans="1:16" x14ac:dyDescent="0.3">
      <c r="A125" s="4" t="s">
        <v>157</v>
      </c>
      <c r="B125" s="2" t="s">
        <v>134</v>
      </c>
      <c r="C125" s="2" t="s">
        <v>50</v>
      </c>
      <c r="D125" s="2" t="s">
        <v>26</v>
      </c>
      <c r="E125" s="2" t="s">
        <v>29</v>
      </c>
      <c r="F125" s="2">
        <v>153</v>
      </c>
      <c r="G125" s="2">
        <v>118</v>
      </c>
      <c r="H125" s="2">
        <v>35</v>
      </c>
      <c r="I125" s="2">
        <v>502</v>
      </c>
      <c r="J125" s="2">
        <v>105</v>
      </c>
      <c r="K125" s="2">
        <v>5</v>
      </c>
      <c r="L125" s="2">
        <v>183758</v>
      </c>
      <c r="M125" s="2">
        <v>180513</v>
      </c>
      <c r="N125" s="2">
        <v>9</v>
      </c>
      <c r="O125" s="6">
        <v>153</v>
      </c>
      <c r="P125" s="2">
        <f>SUM(kip[[#This Row],[Orders_Delivered_OnTime]]/kip[[#This Row],[Orders_Placed]]*100)</f>
        <v>77.124183006535958</v>
      </c>
    </row>
    <row r="126" spans="1:16" x14ac:dyDescent="0.3">
      <c r="A126" s="3" t="s">
        <v>158</v>
      </c>
      <c r="B126" s="1" t="s">
        <v>134</v>
      </c>
      <c r="C126" s="1" t="s">
        <v>50</v>
      </c>
      <c r="D126" s="1" t="s">
        <v>28</v>
      </c>
      <c r="E126" s="1" t="s">
        <v>19</v>
      </c>
      <c r="F126" s="1">
        <v>196</v>
      </c>
      <c r="G126" s="1">
        <v>166</v>
      </c>
      <c r="H126" s="1">
        <v>30</v>
      </c>
      <c r="I126" s="1">
        <v>708</v>
      </c>
      <c r="J126" s="1">
        <v>173</v>
      </c>
      <c r="K126" s="1">
        <v>1</v>
      </c>
      <c r="L126" s="1">
        <v>239138</v>
      </c>
      <c r="M126" s="1">
        <v>272755</v>
      </c>
      <c r="N126" s="1">
        <v>7</v>
      </c>
      <c r="O126" s="5">
        <v>196</v>
      </c>
      <c r="P126" s="2">
        <f>SUM(kip[[#This Row],[Orders_Delivered_OnTime]]/kip[[#This Row],[Orders_Placed]]*100)</f>
        <v>84.693877551020407</v>
      </c>
    </row>
    <row r="127" spans="1:16" x14ac:dyDescent="0.3">
      <c r="A127" s="4" t="s">
        <v>159</v>
      </c>
      <c r="B127" s="2" t="s">
        <v>160</v>
      </c>
      <c r="C127" s="2" t="s">
        <v>17</v>
      </c>
      <c r="D127" s="2" t="s">
        <v>18</v>
      </c>
      <c r="E127" s="2" t="s">
        <v>24</v>
      </c>
      <c r="F127" s="2">
        <v>159</v>
      </c>
      <c r="G127" s="2">
        <v>121</v>
      </c>
      <c r="H127" s="2">
        <v>38</v>
      </c>
      <c r="I127" s="2">
        <v>340</v>
      </c>
      <c r="J127" s="2">
        <v>260</v>
      </c>
      <c r="K127" s="2">
        <v>0</v>
      </c>
      <c r="L127" s="2">
        <v>244484</v>
      </c>
      <c r="M127" s="2">
        <v>267441</v>
      </c>
      <c r="N127" s="2">
        <v>4</v>
      </c>
      <c r="O127" s="6">
        <v>159</v>
      </c>
      <c r="P127" s="2">
        <f>SUM(kip[[#This Row],[Orders_Delivered_OnTime]]/kip[[#This Row],[Orders_Placed]]*100)</f>
        <v>76.100628930817621</v>
      </c>
    </row>
    <row r="128" spans="1:16" x14ac:dyDescent="0.3">
      <c r="A128" s="3" t="s">
        <v>161</v>
      </c>
      <c r="B128" s="1" t="s">
        <v>160</v>
      </c>
      <c r="C128" s="1" t="s">
        <v>17</v>
      </c>
      <c r="D128" s="1" t="s">
        <v>21</v>
      </c>
      <c r="E128" s="1" t="s">
        <v>32</v>
      </c>
      <c r="F128" s="1">
        <v>84</v>
      </c>
      <c r="G128" s="1">
        <v>70</v>
      </c>
      <c r="H128" s="1">
        <v>14</v>
      </c>
      <c r="I128" s="1">
        <v>334</v>
      </c>
      <c r="J128" s="1">
        <v>123</v>
      </c>
      <c r="K128" s="1">
        <v>2</v>
      </c>
      <c r="L128" s="1">
        <v>165647</v>
      </c>
      <c r="M128" s="1">
        <v>186227</v>
      </c>
      <c r="N128" s="1">
        <v>1</v>
      </c>
      <c r="O128" s="5">
        <v>84</v>
      </c>
      <c r="P128" s="2">
        <f>SUM(kip[[#This Row],[Orders_Delivered_OnTime]]/kip[[#This Row],[Orders_Placed]]*100)</f>
        <v>83.333333333333343</v>
      </c>
    </row>
    <row r="129" spans="1:16" x14ac:dyDescent="0.3">
      <c r="A129" s="4" t="s">
        <v>162</v>
      </c>
      <c r="B129" s="2" t="s">
        <v>160</v>
      </c>
      <c r="C129" s="2" t="s">
        <v>17</v>
      </c>
      <c r="D129" s="2" t="s">
        <v>23</v>
      </c>
      <c r="E129" s="2" t="s">
        <v>24</v>
      </c>
      <c r="F129" s="2">
        <v>96</v>
      </c>
      <c r="G129" s="2">
        <v>86</v>
      </c>
      <c r="H129" s="2">
        <v>10</v>
      </c>
      <c r="I129" s="2">
        <v>574</v>
      </c>
      <c r="J129" s="2">
        <v>235</v>
      </c>
      <c r="K129" s="2">
        <v>4</v>
      </c>
      <c r="L129" s="2">
        <v>151441</v>
      </c>
      <c r="M129" s="2">
        <v>174027</v>
      </c>
      <c r="N129" s="2">
        <v>4</v>
      </c>
      <c r="O129" s="6">
        <v>96</v>
      </c>
      <c r="P129" s="2">
        <f>SUM(kip[[#This Row],[Orders_Delivered_OnTime]]/kip[[#This Row],[Orders_Placed]]*100)</f>
        <v>89.583333333333343</v>
      </c>
    </row>
    <row r="130" spans="1:16" x14ac:dyDescent="0.3">
      <c r="A130" s="3" t="s">
        <v>163</v>
      </c>
      <c r="B130" s="1" t="s">
        <v>160</v>
      </c>
      <c r="C130" s="1" t="s">
        <v>17</v>
      </c>
      <c r="D130" s="1" t="s">
        <v>26</v>
      </c>
      <c r="E130" s="1" t="s">
        <v>32</v>
      </c>
      <c r="F130" s="1">
        <v>183</v>
      </c>
      <c r="G130" s="1">
        <v>141</v>
      </c>
      <c r="H130" s="1">
        <v>42</v>
      </c>
      <c r="I130" s="1">
        <v>546</v>
      </c>
      <c r="J130" s="1">
        <v>129</v>
      </c>
      <c r="K130" s="1">
        <v>3</v>
      </c>
      <c r="L130" s="1">
        <v>99739</v>
      </c>
      <c r="M130" s="1">
        <v>93976</v>
      </c>
      <c r="N130" s="1">
        <v>3</v>
      </c>
      <c r="O130" s="5">
        <v>183</v>
      </c>
      <c r="P130" s="2">
        <f>SUM(kip[[#This Row],[Orders_Delivered_OnTime]]/kip[[#This Row],[Orders_Placed]]*100)</f>
        <v>77.049180327868854</v>
      </c>
    </row>
    <row r="131" spans="1:16" x14ac:dyDescent="0.3">
      <c r="A131" s="4" t="s">
        <v>164</v>
      </c>
      <c r="B131" s="2" t="s">
        <v>160</v>
      </c>
      <c r="C131" s="2" t="s">
        <v>17</v>
      </c>
      <c r="D131" s="2" t="s">
        <v>28</v>
      </c>
      <c r="E131" s="2" t="s">
        <v>32</v>
      </c>
      <c r="F131" s="2">
        <v>188</v>
      </c>
      <c r="G131" s="2">
        <v>169</v>
      </c>
      <c r="H131" s="2">
        <v>19</v>
      </c>
      <c r="I131" s="2">
        <v>574</v>
      </c>
      <c r="J131" s="2">
        <v>123</v>
      </c>
      <c r="K131" s="2">
        <v>3</v>
      </c>
      <c r="L131" s="2">
        <v>83648</v>
      </c>
      <c r="M131" s="2">
        <v>81919</v>
      </c>
      <c r="N131" s="2">
        <v>3</v>
      </c>
      <c r="O131" s="6">
        <v>188</v>
      </c>
      <c r="P131" s="2">
        <f>SUM(kip[[#This Row],[Orders_Delivered_OnTime]]/kip[[#This Row],[Orders_Placed]]*100)</f>
        <v>89.893617021276597</v>
      </c>
    </row>
    <row r="132" spans="1:16" x14ac:dyDescent="0.3">
      <c r="A132" s="3" t="s">
        <v>165</v>
      </c>
      <c r="B132" s="1" t="s">
        <v>160</v>
      </c>
      <c r="C132" s="1" t="s">
        <v>31</v>
      </c>
      <c r="D132" s="1" t="s">
        <v>18</v>
      </c>
      <c r="E132" s="1" t="s">
        <v>32</v>
      </c>
      <c r="F132" s="1">
        <v>127</v>
      </c>
      <c r="G132" s="1">
        <v>110</v>
      </c>
      <c r="H132" s="1">
        <v>17</v>
      </c>
      <c r="I132" s="1">
        <v>468</v>
      </c>
      <c r="J132" s="1">
        <v>249</v>
      </c>
      <c r="K132" s="1">
        <v>3</v>
      </c>
      <c r="L132" s="1">
        <v>247391</v>
      </c>
      <c r="M132" s="1">
        <v>292437</v>
      </c>
      <c r="N132" s="1">
        <v>1</v>
      </c>
      <c r="O132" s="5">
        <v>127</v>
      </c>
      <c r="P132" s="2">
        <f>SUM(kip[[#This Row],[Orders_Delivered_OnTime]]/kip[[#This Row],[Orders_Placed]]*100)</f>
        <v>86.614173228346459</v>
      </c>
    </row>
    <row r="133" spans="1:16" x14ac:dyDescent="0.3">
      <c r="A133" s="4" t="s">
        <v>166</v>
      </c>
      <c r="B133" s="2" t="s">
        <v>160</v>
      </c>
      <c r="C133" s="2" t="s">
        <v>31</v>
      </c>
      <c r="D133" s="2" t="s">
        <v>21</v>
      </c>
      <c r="E133" s="2" t="s">
        <v>24</v>
      </c>
      <c r="F133" s="2">
        <v>140</v>
      </c>
      <c r="G133" s="2">
        <v>98</v>
      </c>
      <c r="H133" s="2">
        <v>42</v>
      </c>
      <c r="I133" s="2">
        <v>774</v>
      </c>
      <c r="J133" s="2">
        <v>183</v>
      </c>
      <c r="K133" s="2">
        <v>4</v>
      </c>
      <c r="L133" s="2">
        <v>138030</v>
      </c>
      <c r="M133" s="2">
        <v>151045</v>
      </c>
      <c r="N133" s="2">
        <v>10</v>
      </c>
      <c r="O133" s="6">
        <v>140</v>
      </c>
      <c r="P133" s="2">
        <f>SUM(kip[[#This Row],[Orders_Delivered_OnTime]]/kip[[#This Row],[Orders_Placed]]*100)</f>
        <v>70</v>
      </c>
    </row>
    <row r="134" spans="1:16" x14ac:dyDescent="0.3">
      <c r="A134" s="3" t="s">
        <v>167</v>
      </c>
      <c r="B134" s="1" t="s">
        <v>160</v>
      </c>
      <c r="C134" s="1" t="s">
        <v>31</v>
      </c>
      <c r="D134" s="1" t="s">
        <v>23</v>
      </c>
      <c r="E134" s="1" t="s">
        <v>32</v>
      </c>
      <c r="F134" s="1">
        <v>196</v>
      </c>
      <c r="G134" s="1">
        <v>171</v>
      </c>
      <c r="H134" s="1">
        <v>25</v>
      </c>
      <c r="I134" s="1">
        <v>618</v>
      </c>
      <c r="J134" s="1">
        <v>129</v>
      </c>
      <c r="K134" s="1">
        <v>1</v>
      </c>
      <c r="L134" s="1">
        <v>91887</v>
      </c>
      <c r="M134" s="1">
        <v>108783</v>
      </c>
      <c r="N134" s="1">
        <v>9</v>
      </c>
      <c r="O134" s="5">
        <v>196</v>
      </c>
      <c r="P134" s="2">
        <f>SUM(kip[[#This Row],[Orders_Delivered_OnTime]]/kip[[#This Row],[Orders_Placed]]*100)</f>
        <v>87.244897959183675</v>
      </c>
    </row>
    <row r="135" spans="1:16" x14ac:dyDescent="0.3">
      <c r="A135" s="4" t="s">
        <v>168</v>
      </c>
      <c r="B135" s="2" t="s">
        <v>160</v>
      </c>
      <c r="C135" s="2" t="s">
        <v>31</v>
      </c>
      <c r="D135" s="2" t="s">
        <v>26</v>
      </c>
      <c r="E135" s="2" t="s">
        <v>32</v>
      </c>
      <c r="F135" s="2">
        <v>94</v>
      </c>
      <c r="G135" s="2">
        <v>68</v>
      </c>
      <c r="H135" s="2">
        <v>26</v>
      </c>
      <c r="I135" s="2">
        <v>750</v>
      </c>
      <c r="J135" s="2">
        <v>134</v>
      </c>
      <c r="K135" s="2">
        <v>3</v>
      </c>
      <c r="L135" s="2">
        <v>198919</v>
      </c>
      <c r="M135" s="2">
        <v>201167</v>
      </c>
      <c r="N135" s="2">
        <v>6</v>
      </c>
      <c r="O135" s="6">
        <v>94</v>
      </c>
      <c r="P135" s="2">
        <f>SUM(kip[[#This Row],[Orders_Delivered_OnTime]]/kip[[#This Row],[Orders_Placed]]*100)</f>
        <v>72.340425531914903</v>
      </c>
    </row>
    <row r="136" spans="1:16" x14ac:dyDescent="0.3">
      <c r="A136" s="3" t="s">
        <v>169</v>
      </c>
      <c r="B136" s="1" t="s">
        <v>160</v>
      </c>
      <c r="C136" s="1" t="s">
        <v>31</v>
      </c>
      <c r="D136" s="1" t="s">
        <v>28</v>
      </c>
      <c r="E136" s="1" t="s">
        <v>24</v>
      </c>
      <c r="F136" s="1">
        <v>193</v>
      </c>
      <c r="G136" s="1">
        <v>155</v>
      </c>
      <c r="H136" s="1">
        <v>38</v>
      </c>
      <c r="I136" s="1">
        <v>301</v>
      </c>
      <c r="J136" s="1">
        <v>225</v>
      </c>
      <c r="K136" s="1">
        <v>4</v>
      </c>
      <c r="L136" s="1">
        <v>186985</v>
      </c>
      <c r="M136" s="1">
        <v>220963</v>
      </c>
      <c r="N136" s="1">
        <v>8</v>
      </c>
      <c r="O136" s="5">
        <v>193</v>
      </c>
      <c r="P136" s="2">
        <f>SUM(kip[[#This Row],[Orders_Delivered_OnTime]]/kip[[#This Row],[Orders_Placed]]*100)</f>
        <v>80.310880829015545</v>
      </c>
    </row>
    <row r="137" spans="1:16" x14ac:dyDescent="0.3">
      <c r="A137" s="4" t="s">
        <v>170</v>
      </c>
      <c r="B137" s="2" t="s">
        <v>160</v>
      </c>
      <c r="C137" s="2" t="s">
        <v>38</v>
      </c>
      <c r="D137" s="2" t="s">
        <v>18</v>
      </c>
      <c r="E137" s="2" t="s">
        <v>19</v>
      </c>
      <c r="F137" s="2">
        <v>168</v>
      </c>
      <c r="G137" s="2">
        <v>133</v>
      </c>
      <c r="H137" s="2">
        <v>35</v>
      </c>
      <c r="I137" s="2">
        <v>654</v>
      </c>
      <c r="J137" s="2">
        <v>213</v>
      </c>
      <c r="K137" s="2">
        <v>1</v>
      </c>
      <c r="L137" s="2">
        <v>175075</v>
      </c>
      <c r="M137" s="2">
        <v>162785</v>
      </c>
      <c r="N137" s="2">
        <v>10</v>
      </c>
      <c r="O137" s="6">
        <v>168</v>
      </c>
      <c r="P137" s="2">
        <f>SUM(kip[[#This Row],[Orders_Delivered_OnTime]]/kip[[#This Row],[Orders_Placed]]*100)</f>
        <v>79.166666666666657</v>
      </c>
    </row>
    <row r="138" spans="1:16" x14ac:dyDescent="0.3">
      <c r="A138" s="3" t="s">
        <v>171</v>
      </c>
      <c r="B138" s="1" t="s">
        <v>160</v>
      </c>
      <c r="C138" s="1" t="s">
        <v>38</v>
      </c>
      <c r="D138" s="1" t="s">
        <v>21</v>
      </c>
      <c r="E138" s="1" t="s">
        <v>29</v>
      </c>
      <c r="F138" s="1">
        <v>149</v>
      </c>
      <c r="G138" s="1">
        <v>137</v>
      </c>
      <c r="H138" s="1">
        <v>12</v>
      </c>
      <c r="I138" s="1">
        <v>567</v>
      </c>
      <c r="J138" s="1">
        <v>115</v>
      </c>
      <c r="K138" s="1">
        <v>3</v>
      </c>
      <c r="L138" s="1">
        <v>152320</v>
      </c>
      <c r="M138" s="1">
        <v>145761</v>
      </c>
      <c r="N138" s="1">
        <v>1</v>
      </c>
      <c r="O138" s="5">
        <v>149</v>
      </c>
      <c r="P138" s="2">
        <f>SUM(kip[[#This Row],[Orders_Delivered_OnTime]]/kip[[#This Row],[Orders_Placed]]*100)</f>
        <v>91.946308724832221</v>
      </c>
    </row>
    <row r="139" spans="1:16" x14ac:dyDescent="0.3">
      <c r="A139" s="4" t="s">
        <v>172</v>
      </c>
      <c r="B139" s="2" t="s">
        <v>160</v>
      </c>
      <c r="C139" s="2" t="s">
        <v>38</v>
      </c>
      <c r="D139" s="2" t="s">
        <v>23</v>
      </c>
      <c r="E139" s="2" t="s">
        <v>32</v>
      </c>
      <c r="F139" s="2">
        <v>91</v>
      </c>
      <c r="G139" s="2">
        <v>78</v>
      </c>
      <c r="H139" s="2">
        <v>13</v>
      </c>
      <c r="I139" s="2">
        <v>221</v>
      </c>
      <c r="J139" s="2">
        <v>112</v>
      </c>
      <c r="K139" s="2">
        <v>2</v>
      </c>
      <c r="L139" s="2">
        <v>143850</v>
      </c>
      <c r="M139" s="2">
        <v>172137</v>
      </c>
      <c r="N139" s="2">
        <v>3</v>
      </c>
      <c r="O139" s="6">
        <v>91</v>
      </c>
      <c r="P139" s="2">
        <f>SUM(kip[[#This Row],[Orders_Delivered_OnTime]]/kip[[#This Row],[Orders_Placed]]*100)</f>
        <v>85.714285714285708</v>
      </c>
    </row>
    <row r="140" spans="1:16" x14ac:dyDescent="0.3">
      <c r="A140" s="3" t="s">
        <v>173</v>
      </c>
      <c r="B140" s="1" t="s">
        <v>160</v>
      </c>
      <c r="C140" s="1" t="s">
        <v>38</v>
      </c>
      <c r="D140" s="1" t="s">
        <v>26</v>
      </c>
      <c r="E140" s="1" t="s">
        <v>19</v>
      </c>
      <c r="F140" s="1">
        <v>186</v>
      </c>
      <c r="G140" s="1">
        <v>165</v>
      </c>
      <c r="H140" s="1">
        <v>21</v>
      </c>
      <c r="I140" s="1">
        <v>412</v>
      </c>
      <c r="J140" s="1">
        <v>250</v>
      </c>
      <c r="K140" s="1">
        <v>1</v>
      </c>
      <c r="L140" s="1">
        <v>141079</v>
      </c>
      <c r="M140" s="1">
        <v>140876</v>
      </c>
      <c r="N140" s="1">
        <v>2</v>
      </c>
      <c r="O140" s="5">
        <v>186</v>
      </c>
      <c r="P140" s="2">
        <f>SUM(kip[[#This Row],[Orders_Delivered_OnTime]]/kip[[#This Row],[Orders_Placed]]*100)</f>
        <v>88.709677419354833</v>
      </c>
    </row>
    <row r="141" spans="1:16" x14ac:dyDescent="0.3">
      <c r="A141" s="4" t="s">
        <v>174</v>
      </c>
      <c r="B141" s="2" t="s">
        <v>160</v>
      </c>
      <c r="C141" s="2" t="s">
        <v>38</v>
      </c>
      <c r="D141" s="2" t="s">
        <v>28</v>
      </c>
      <c r="E141" s="2" t="s">
        <v>19</v>
      </c>
      <c r="F141" s="2">
        <v>115</v>
      </c>
      <c r="G141" s="2">
        <v>105</v>
      </c>
      <c r="H141" s="2">
        <v>10</v>
      </c>
      <c r="I141" s="2">
        <v>348</v>
      </c>
      <c r="J141" s="2">
        <v>133</v>
      </c>
      <c r="K141" s="2">
        <v>4</v>
      </c>
      <c r="L141" s="2">
        <v>145707</v>
      </c>
      <c r="M141" s="2">
        <v>166041</v>
      </c>
      <c r="N141" s="2">
        <v>1</v>
      </c>
      <c r="O141" s="6">
        <v>115</v>
      </c>
      <c r="P141" s="2">
        <f>SUM(kip[[#This Row],[Orders_Delivered_OnTime]]/kip[[#This Row],[Orders_Placed]]*100)</f>
        <v>91.304347826086953</v>
      </c>
    </row>
    <row r="142" spans="1:16" x14ac:dyDescent="0.3">
      <c r="A142" s="3" t="s">
        <v>175</v>
      </c>
      <c r="B142" s="1" t="s">
        <v>160</v>
      </c>
      <c r="C142" s="1" t="s">
        <v>44</v>
      </c>
      <c r="D142" s="1" t="s">
        <v>18</v>
      </c>
      <c r="E142" s="1" t="s">
        <v>19</v>
      </c>
      <c r="F142" s="1">
        <v>96</v>
      </c>
      <c r="G142" s="1">
        <v>67</v>
      </c>
      <c r="H142" s="1">
        <v>29</v>
      </c>
      <c r="I142" s="1">
        <v>443</v>
      </c>
      <c r="J142" s="1">
        <v>250</v>
      </c>
      <c r="K142" s="1">
        <v>2</v>
      </c>
      <c r="L142" s="1">
        <v>84136</v>
      </c>
      <c r="M142" s="1">
        <v>80120</v>
      </c>
      <c r="N142" s="1">
        <v>0</v>
      </c>
      <c r="O142" s="5">
        <v>96</v>
      </c>
      <c r="P142" s="2">
        <f>SUM(kip[[#This Row],[Orders_Delivered_OnTime]]/kip[[#This Row],[Orders_Placed]]*100)</f>
        <v>69.791666666666657</v>
      </c>
    </row>
    <row r="143" spans="1:16" x14ac:dyDescent="0.3">
      <c r="A143" s="4" t="s">
        <v>176</v>
      </c>
      <c r="B143" s="2" t="s">
        <v>160</v>
      </c>
      <c r="C143" s="2" t="s">
        <v>44</v>
      </c>
      <c r="D143" s="2" t="s">
        <v>21</v>
      </c>
      <c r="E143" s="2" t="s">
        <v>24</v>
      </c>
      <c r="F143" s="2">
        <v>174</v>
      </c>
      <c r="G143" s="2">
        <v>140</v>
      </c>
      <c r="H143" s="2">
        <v>34</v>
      </c>
      <c r="I143" s="2">
        <v>316</v>
      </c>
      <c r="J143" s="2">
        <v>290</v>
      </c>
      <c r="K143" s="2">
        <v>0</v>
      </c>
      <c r="L143" s="2">
        <v>204845</v>
      </c>
      <c r="M143" s="2">
        <v>211908</v>
      </c>
      <c r="N143" s="2">
        <v>5</v>
      </c>
      <c r="O143" s="6">
        <v>174</v>
      </c>
      <c r="P143" s="2">
        <f>SUM(kip[[#This Row],[Orders_Delivered_OnTime]]/kip[[#This Row],[Orders_Placed]]*100)</f>
        <v>80.459770114942529</v>
      </c>
    </row>
    <row r="144" spans="1:16" x14ac:dyDescent="0.3">
      <c r="A144" s="3" t="s">
        <v>177</v>
      </c>
      <c r="B144" s="1" t="s">
        <v>160</v>
      </c>
      <c r="C144" s="1" t="s">
        <v>44</v>
      </c>
      <c r="D144" s="1" t="s">
        <v>23</v>
      </c>
      <c r="E144" s="1" t="s">
        <v>19</v>
      </c>
      <c r="F144" s="1">
        <v>137</v>
      </c>
      <c r="G144" s="1">
        <v>113</v>
      </c>
      <c r="H144" s="1">
        <v>24</v>
      </c>
      <c r="I144" s="1">
        <v>244</v>
      </c>
      <c r="J144" s="1">
        <v>286</v>
      </c>
      <c r="K144" s="1">
        <v>5</v>
      </c>
      <c r="L144" s="1">
        <v>216695</v>
      </c>
      <c r="M144" s="1">
        <v>214634</v>
      </c>
      <c r="N144" s="1">
        <v>10</v>
      </c>
      <c r="O144" s="5">
        <v>137</v>
      </c>
      <c r="P144" s="2">
        <f>SUM(kip[[#This Row],[Orders_Delivered_OnTime]]/kip[[#This Row],[Orders_Placed]]*100)</f>
        <v>82.481751824817522</v>
      </c>
    </row>
    <row r="145" spans="1:16" x14ac:dyDescent="0.3">
      <c r="A145" s="4" t="s">
        <v>178</v>
      </c>
      <c r="B145" s="2" t="s">
        <v>160</v>
      </c>
      <c r="C145" s="2" t="s">
        <v>44</v>
      </c>
      <c r="D145" s="2" t="s">
        <v>26</v>
      </c>
      <c r="E145" s="2" t="s">
        <v>19</v>
      </c>
      <c r="F145" s="2">
        <v>87</v>
      </c>
      <c r="G145" s="2">
        <v>82</v>
      </c>
      <c r="H145" s="2">
        <v>5</v>
      </c>
      <c r="I145" s="2">
        <v>611</v>
      </c>
      <c r="J145" s="2">
        <v>209</v>
      </c>
      <c r="K145" s="2">
        <v>5</v>
      </c>
      <c r="L145" s="2">
        <v>108301</v>
      </c>
      <c r="M145" s="2">
        <v>113399</v>
      </c>
      <c r="N145" s="2">
        <v>3</v>
      </c>
      <c r="O145" s="6">
        <v>87</v>
      </c>
      <c r="P145" s="2">
        <f>SUM(kip[[#This Row],[Orders_Delivered_OnTime]]/kip[[#This Row],[Orders_Placed]]*100)</f>
        <v>94.252873563218387</v>
      </c>
    </row>
    <row r="146" spans="1:16" x14ac:dyDescent="0.3">
      <c r="A146" s="3" t="s">
        <v>179</v>
      </c>
      <c r="B146" s="1" t="s">
        <v>160</v>
      </c>
      <c r="C146" s="1" t="s">
        <v>44</v>
      </c>
      <c r="D146" s="1" t="s">
        <v>28</v>
      </c>
      <c r="E146" s="1" t="s">
        <v>19</v>
      </c>
      <c r="F146" s="1">
        <v>195</v>
      </c>
      <c r="G146" s="1">
        <v>140</v>
      </c>
      <c r="H146" s="1">
        <v>55</v>
      </c>
      <c r="I146" s="1">
        <v>351</v>
      </c>
      <c r="J146" s="1">
        <v>116</v>
      </c>
      <c r="K146" s="1">
        <v>1</v>
      </c>
      <c r="L146" s="1">
        <v>152093</v>
      </c>
      <c r="M146" s="1">
        <v>165369</v>
      </c>
      <c r="N146" s="1">
        <v>10</v>
      </c>
      <c r="O146" s="5">
        <v>195</v>
      </c>
      <c r="P146" s="2">
        <f>SUM(kip[[#This Row],[Orders_Delivered_OnTime]]/kip[[#This Row],[Orders_Placed]]*100)</f>
        <v>71.794871794871796</v>
      </c>
    </row>
    <row r="147" spans="1:16" x14ac:dyDescent="0.3">
      <c r="A147" s="4" t="s">
        <v>180</v>
      </c>
      <c r="B147" s="2" t="s">
        <v>160</v>
      </c>
      <c r="C147" s="2" t="s">
        <v>50</v>
      </c>
      <c r="D147" s="2" t="s">
        <v>18</v>
      </c>
      <c r="E147" s="2" t="s">
        <v>32</v>
      </c>
      <c r="F147" s="2">
        <v>156</v>
      </c>
      <c r="G147" s="2">
        <v>129</v>
      </c>
      <c r="H147" s="2">
        <v>27</v>
      </c>
      <c r="I147" s="2">
        <v>664</v>
      </c>
      <c r="J147" s="2">
        <v>229</v>
      </c>
      <c r="K147" s="2">
        <v>4</v>
      </c>
      <c r="L147" s="2">
        <v>192774</v>
      </c>
      <c r="M147" s="2">
        <v>179232</v>
      </c>
      <c r="N147" s="2">
        <v>11</v>
      </c>
      <c r="O147" s="6">
        <v>156</v>
      </c>
      <c r="P147" s="2">
        <f>SUM(kip[[#This Row],[Orders_Delivered_OnTime]]/kip[[#This Row],[Orders_Placed]]*100)</f>
        <v>82.692307692307693</v>
      </c>
    </row>
    <row r="148" spans="1:16" x14ac:dyDescent="0.3">
      <c r="A148" s="3" t="s">
        <v>181</v>
      </c>
      <c r="B148" s="1" t="s">
        <v>160</v>
      </c>
      <c r="C148" s="1" t="s">
        <v>50</v>
      </c>
      <c r="D148" s="1" t="s">
        <v>21</v>
      </c>
      <c r="E148" s="1" t="s">
        <v>19</v>
      </c>
      <c r="F148" s="1">
        <v>189</v>
      </c>
      <c r="G148" s="1">
        <v>163</v>
      </c>
      <c r="H148" s="1">
        <v>26</v>
      </c>
      <c r="I148" s="1">
        <v>764</v>
      </c>
      <c r="J148" s="1">
        <v>284</v>
      </c>
      <c r="K148" s="1">
        <v>1</v>
      </c>
      <c r="L148" s="1">
        <v>192740</v>
      </c>
      <c r="M148" s="1">
        <v>199575</v>
      </c>
      <c r="N148" s="1">
        <v>7</v>
      </c>
      <c r="O148" s="5">
        <v>189</v>
      </c>
      <c r="P148" s="2">
        <f>SUM(kip[[#This Row],[Orders_Delivered_OnTime]]/kip[[#This Row],[Orders_Placed]]*100)</f>
        <v>86.24338624338624</v>
      </c>
    </row>
    <row r="149" spans="1:16" x14ac:dyDescent="0.3">
      <c r="A149" s="4" t="s">
        <v>182</v>
      </c>
      <c r="B149" s="2" t="s">
        <v>160</v>
      </c>
      <c r="C149" s="2" t="s">
        <v>50</v>
      </c>
      <c r="D149" s="2" t="s">
        <v>23</v>
      </c>
      <c r="E149" s="2" t="s">
        <v>32</v>
      </c>
      <c r="F149" s="2">
        <v>123</v>
      </c>
      <c r="G149" s="2">
        <v>111</v>
      </c>
      <c r="H149" s="2">
        <v>12</v>
      </c>
      <c r="I149" s="2">
        <v>608</v>
      </c>
      <c r="J149" s="2">
        <v>206</v>
      </c>
      <c r="K149" s="2">
        <v>5</v>
      </c>
      <c r="L149" s="2">
        <v>104926</v>
      </c>
      <c r="M149" s="2">
        <v>104271</v>
      </c>
      <c r="N149" s="2">
        <v>5</v>
      </c>
      <c r="O149" s="6">
        <v>123</v>
      </c>
      <c r="P149" s="2">
        <f>SUM(kip[[#This Row],[Orders_Delivered_OnTime]]/kip[[#This Row],[Orders_Placed]]*100)</f>
        <v>90.243902439024396</v>
      </c>
    </row>
    <row r="150" spans="1:16" x14ac:dyDescent="0.3">
      <c r="A150" s="3" t="s">
        <v>183</v>
      </c>
      <c r="B150" s="1" t="s">
        <v>160</v>
      </c>
      <c r="C150" s="1" t="s">
        <v>50</v>
      </c>
      <c r="D150" s="1" t="s">
        <v>26</v>
      </c>
      <c r="E150" s="1" t="s">
        <v>29</v>
      </c>
      <c r="F150" s="1">
        <v>127</v>
      </c>
      <c r="G150" s="1">
        <v>119</v>
      </c>
      <c r="H150" s="1">
        <v>8</v>
      </c>
      <c r="I150" s="1">
        <v>685</v>
      </c>
      <c r="J150" s="1">
        <v>117</v>
      </c>
      <c r="K150" s="1">
        <v>0</v>
      </c>
      <c r="L150" s="1">
        <v>102377</v>
      </c>
      <c r="M150" s="1">
        <v>95002</v>
      </c>
      <c r="N150" s="1">
        <v>1</v>
      </c>
      <c r="O150" s="5">
        <v>127</v>
      </c>
      <c r="P150" s="2">
        <f>SUM(kip[[#This Row],[Orders_Delivered_OnTime]]/kip[[#This Row],[Orders_Placed]]*100)</f>
        <v>93.7007874015748</v>
      </c>
    </row>
    <row r="151" spans="1:16" x14ac:dyDescent="0.3">
      <c r="A151" s="4" t="s">
        <v>184</v>
      </c>
      <c r="B151" s="2" t="s">
        <v>160</v>
      </c>
      <c r="C151" s="2" t="s">
        <v>50</v>
      </c>
      <c r="D151" s="2" t="s">
        <v>28</v>
      </c>
      <c r="E151" s="2" t="s">
        <v>29</v>
      </c>
      <c r="F151" s="2">
        <v>183</v>
      </c>
      <c r="G151" s="2">
        <v>134</v>
      </c>
      <c r="H151" s="2">
        <v>49</v>
      </c>
      <c r="I151" s="2">
        <v>261</v>
      </c>
      <c r="J151" s="2">
        <v>250</v>
      </c>
      <c r="K151" s="2">
        <v>4</v>
      </c>
      <c r="L151" s="2">
        <v>227241</v>
      </c>
      <c r="M151" s="2">
        <v>226989</v>
      </c>
      <c r="N151" s="2">
        <v>1</v>
      </c>
      <c r="O151" s="6">
        <v>183</v>
      </c>
      <c r="P151" s="2">
        <f>SUM(kip[[#This Row],[Orders_Delivered_OnTime]]/kip[[#This Row],[Orders_Placed]]*100)</f>
        <v>73.224043715847003</v>
      </c>
    </row>
    <row r="152" spans="1:16" x14ac:dyDescent="0.3">
      <c r="A152" s="3" t="s">
        <v>185</v>
      </c>
      <c r="B152" s="1" t="s">
        <v>186</v>
      </c>
      <c r="C152" s="1" t="s">
        <v>17</v>
      </c>
      <c r="D152" s="1" t="s">
        <v>18</v>
      </c>
      <c r="E152" s="1" t="s">
        <v>32</v>
      </c>
      <c r="F152" s="1">
        <v>125</v>
      </c>
      <c r="G152" s="1">
        <v>114</v>
      </c>
      <c r="H152" s="1">
        <v>11</v>
      </c>
      <c r="I152" s="1">
        <v>633</v>
      </c>
      <c r="J152" s="1">
        <v>284</v>
      </c>
      <c r="K152" s="1">
        <v>0</v>
      </c>
      <c r="L152" s="1">
        <v>155400</v>
      </c>
      <c r="M152" s="1">
        <v>167851</v>
      </c>
      <c r="N152" s="1">
        <v>5</v>
      </c>
      <c r="O152" s="5">
        <v>125</v>
      </c>
      <c r="P152" s="2">
        <f>SUM(kip[[#This Row],[Orders_Delivered_OnTime]]/kip[[#This Row],[Orders_Placed]]*100)</f>
        <v>91.2</v>
      </c>
    </row>
    <row r="153" spans="1:16" x14ac:dyDescent="0.3">
      <c r="A153" s="4" t="s">
        <v>187</v>
      </c>
      <c r="B153" s="2" t="s">
        <v>186</v>
      </c>
      <c r="C153" s="2" t="s">
        <v>17</v>
      </c>
      <c r="D153" s="2" t="s">
        <v>21</v>
      </c>
      <c r="E153" s="2" t="s">
        <v>19</v>
      </c>
      <c r="F153" s="2">
        <v>153</v>
      </c>
      <c r="G153" s="2">
        <v>126</v>
      </c>
      <c r="H153" s="2">
        <v>27</v>
      </c>
      <c r="I153" s="2">
        <v>358</v>
      </c>
      <c r="J153" s="2">
        <v>268</v>
      </c>
      <c r="K153" s="2">
        <v>3</v>
      </c>
      <c r="L153" s="2">
        <v>138784</v>
      </c>
      <c r="M153" s="2">
        <v>160182</v>
      </c>
      <c r="N153" s="2">
        <v>5</v>
      </c>
      <c r="O153" s="6">
        <v>153</v>
      </c>
      <c r="P153" s="2">
        <f>SUM(kip[[#This Row],[Orders_Delivered_OnTime]]/kip[[#This Row],[Orders_Placed]]*100)</f>
        <v>82.35294117647058</v>
      </c>
    </row>
    <row r="154" spans="1:16" x14ac:dyDescent="0.3">
      <c r="A154" s="3" t="s">
        <v>188</v>
      </c>
      <c r="B154" s="1" t="s">
        <v>186</v>
      </c>
      <c r="C154" s="1" t="s">
        <v>17</v>
      </c>
      <c r="D154" s="1" t="s">
        <v>23</v>
      </c>
      <c r="E154" s="1" t="s">
        <v>29</v>
      </c>
      <c r="F154" s="1">
        <v>94</v>
      </c>
      <c r="G154" s="1">
        <v>83</v>
      </c>
      <c r="H154" s="1">
        <v>11</v>
      </c>
      <c r="I154" s="1">
        <v>787</v>
      </c>
      <c r="J154" s="1">
        <v>157</v>
      </c>
      <c r="K154" s="1">
        <v>3</v>
      </c>
      <c r="L154" s="1">
        <v>227053</v>
      </c>
      <c r="M154" s="1">
        <v>270729</v>
      </c>
      <c r="N154" s="1">
        <v>0</v>
      </c>
      <c r="O154" s="5">
        <v>94</v>
      </c>
      <c r="P154" s="2">
        <f>SUM(kip[[#This Row],[Orders_Delivered_OnTime]]/kip[[#This Row],[Orders_Placed]]*100)</f>
        <v>88.297872340425528</v>
      </c>
    </row>
    <row r="155" spans="1:16" x14ac:dyDescent="0.3">
      <c r="A155" s="4" t="s">
        <v>189</v>
      </c>
      <c r="B155" s="2" t="s">
        <v>186</v>
      </c>
      <c r="C155" s="2" t="s">
        <v>17</v>
      </c>
      <c r="D155" s="2" t="s">
        <v>26</v>
      </c>
      <c r="E155" s="2" t="s">
        <v>29</v>
      </c>
      <c r="F155" s="2">
        <v>83</v>
      </c>
      <c r="G155" s="2">
        <v>61</v>
      </c>
      <c r="H155" s="2">
        <v>22</v>
      </c>
      <c r="I155" s="2">
        <v>516</v>
      </c>
      <c r="J155" s="2">
        <v>186</v>
      </c>
      <c r="K155" s="2">
        <v>2</v>
      </c>
      <c r="L155" s="2">
        <v>81600</v>
      </c>
      <c r="M155" s="2">
        <v>77880</v>
      </c>
      <c r="N155" s="2">
        <v>1</v>
      </c>
      <c r="O155" s="6">
        <v>83</v>
      </c>
      <c r="P155" s="2">
        <f>SUM(kip[[#This Row],[Orders_Delivered_OnTime]]/kip[[#This Row],[Orders_Placed]]*100)</f>
        <v>73.493975903614455</v>
      </c>
    </row>
    <row r="156" spans="1:16" x14ac:dyDescent="0.3">
      <c r="A156" s="3" t="s">
        <v>190</v>
      </c>
      <c r="B156" s="1" t="s">
        <v>186</v>
      </c>
      <c r="C156" s="1" t="s">
        <v>17</v>
      </c>
      <c r="D156" s="1" t="s">
        <v>28</v>
      </c>
      <c r="E156" s="1" t="s">
        <v>32</v>
      </c>
      <c r="F156" s="1">
        <v>88</v>
      </c>
      <c r="G156" s="1">
        <v>64</v>
      </c>
      <c r="H156" s="1">
        <v>24</v>
      </c>
      <c r="I156" s="1">
        <v>231</v>
      </c>
      <c r="J156" s="1">
        <v>123</v>
      </c>
      <c r="K156" s="1">
        <v>5</v>
      </c>
      <c r="L156" s="1">
        <v>219062</v>
      </c>
      <c r="M156" s="1">
        <v>211294</v>
      </c>
      <c r="N156" s="1">
        <v>6</v>
      </c>
      <c r="O156" s="5">
        <v>88</v>
      </c>
      <c r="P156" s="2">
        <f>SUM(kip[[#This Row],[Orders_Delivered_OnTime]]/kip[[#This Row],[Orders_Placed]]*100)</f>
        <v>72.727272727272734</v>
      </c>
    </row>
    <row r="157" spans="1:16" x14ac:dyDescent="0.3">
      <c r="A157" s="4" t="s">
        <v>191</v>
      </c>
      <c r="B157" s="2" t="s">
        <v>186</v>
      </c>
      <c r="C157" s="2" t="s">
        <v>31</v>
      </c>
      <c r="D157" s="2" t="s">
        <v>18</v>
      </c>
      <c r="E157" s="2" t="s">
        <v>32</v>
      </c>
      <c r="F157" s="2">
        <v>123</v>
      </c>
      <c r="G157" s="2">
        <v>90</v>
      </c>
      <c r="H157" s="2">
        <v>33</v>
      </c>
      <c r="I157" s="2">
        <v>519</v>
      </c>
      <c r="J157" s="2">
        <v>284</v>
      </c>
      <c r="K157" s="2">
        <v>2</v>
      </c>
      <c r="L157" s="2">
        <v>228791</v>
      </c>
      <c r="M157" s="2">
        <v>246835</v>
      </c>
      <c r="N157" s="2">
        <v>0</v>
      </c>
      <c r="O157" s="6">
        <v>123</v>
      </c>
      <c r="P157" s="2">
        <f>SUM(kip[[#This Row],[Orders_Delivered_OnTime]]/kip[[#This Row],[Orders_Placed]]*100)</f>
        <v>73.170731707317074</v>
      </c>
    </row>
    <row r="158" spans="1:16" x14ac:dyDescent="0.3">
      <c r="A158" s="3" t="s">
        <v>192</v>
      </c>
      <c r="B158" s="1" t="s">
        <v>186</v>
      </c>
      <c r="C158" s="1" t="s">
        <v>31</v>
      </c>
      <c r="D158" s="1" t="s">
        <v>21</v>
      </c>
      <c r="E158" s="1" t="s">
        <v>24</v>
      </c>
      <c r="F158" s="1">
        <v>100</v>
      </c>
      <c r="G158" s="1">
        <v>88</v>
      </c>
      <c r="H158" s="1">
        <v>12</v>
      </c>
      <c r="I158" s="1">
        <v>250</v>
      </c>
      <c r="J158" s="1">
        <v>272</v>
      </c>
      <c r="K158" s="1">
        <v>0</v>
      </c>
      <c r="L158" s="1">
        <v>151330</v>
      </c>
      <c r="M158" s="1">
        <v>156313</v>
      </c>
      <c r="N158" s="1">
        <v>6</v>
      </c>
      <c r="O158" s="5">
        <v>100</v>
      </c>
      <c r="P158" s="2">
        <f>SUM(kip[[#This Row],[Orders_Delivered_OnTime]]/kip[[#This Row],[Orders_Placed]]*100)</f>
        <v>88</v>
      </c>
    </row>
    <row r="159" spans="1:16" x14ac:dyDescent="0.3">
      <c r="A159" s="4" t="s">
        <v>193</v>
      </c>
      <c r="B159" s="2" t="s">
        <v>186</v>
      </c>
      <c r="C159" s="2" t="s">
        <v>31</v>
      </c>
      <c r="D159" s="2" t="s">
        <v>23</v>
      </c>
      <c r="E159" s="2" t="s">
        <v>32</v>
      </c>
      <c r="F159" s="2">
        <v>157</v>
      </c>
      <c r="G159" s="2">
        <v>127</v>
      </c>
      <c r="H159" s="2">
        <v>30</v>
      </c>
      <c r="I159" s="2">
        <v>479</v>
      </c>
      <c r="J159" s="2">
        <v>155</v>
      </c>
      <c r="K159" s="2">
        <v>4</v>
      </c>
      <c r="L159" s="2">
        <v>109836</v>
      </c>
      <c r="M159" s="2">
        <v>110226</v>
      </c>
      <c r="N159" s="2">
        <v>1</v>
      </c>
      <c r="O159" s="6">
        <v>157</v>
      </c>
      <c r="P159" s="2">
        <f>SUM(kip[[#This Row],[Orders_Delivered_OnTime]]/kip[[#This Row],[Orders_Placed]]*100)</f>
        <v>80.891719745222929</v>
      </c>
    </row>
    <row r="160" spans="1:16" x14ac:dyDescent="0.3">
      <c r="A160" s="3" t="s">
        <v>194</v>
      </c>
      <c r="B160" s="1" t="s">
        <v>186</v>
      </c>
      <c r="C160" s="1" t="s">
        <v>31</v>
      </c>
      <c r="D160" s="1" t="s">
        <v>26</v>
      </c>
      <c r="E160" s="1" t="s">
        <v>29</v>
      </c>
      <c r="F160" s="1">
        <v>166</v>
      </c>
      <c r="G160" s="1">
        <v>144</v>
      </c>
      <c r="H160" s="1">
        <v>22</v>
      </c>
      <c r="I160" s="1">
        <v>698</v>
      </c>
      <c r="J160" s="1">
        <v>234</v>
      </c>
      <c r="K160" s="1">
        <v>5</v>
      </c>
      <c r="L160" s="1">
        <v>160850</v>
      </c>
      <c r="M160" s="1">
        <v>146956</v>
      </c>
      <c r="N160" s="1">
        <v>6</v>
      </c>
      <c r="O160" s="5">
        <v>166</v>
      </c>
      <c r="P160" s="2">
        <f>SUM(kip[[#This Row],[Orders_Delivered_OnTime]]/kip[[#This Row],[Orders_Placed]]*100)</f>
        <v>86.746987951807228</v>
      </c>
    </row>
    <row r="161" spans="1:16" x14ac:dyDescent="0.3">
      <c r="A161" s="4" t="s">
        <v>195</v>
      </c>
      <c r="B161" s="2" t="s">
        <v>186</v>
      </c>
      <c r="C161" s="2" t="s">
        <v>31</v>
      </c>
      <c r="D161" s="2" t="s">
        <v>28</v>
      </c>
      <c r="E161" s="2" t="s">
        <v>19</v>
      </c>
      <c r="F161" s="2">
        <v>80</v>
      </c>
      <c r="G161" s="2">
        <v>60</v>
      </c>
      <c r="H161" s="2">
        <v>20</v>
      </c>
      <c r="I161" s="2">
        <v>416</v>
      </c>
      <c r="J161" s="2">
        <v>296</v>
      </c>
      <c r="K161" s="2">
        <v>1</v>
      </c>
      <c r="L161" s="2">
        <v>146982</v>
      </c>
      <c r="M161" s="2">
        <v>145046</v>
      </c>
      <c r="N161" s="2">
        <v>0</v>
      </c>
      <c r="O161" s="6">
        <v>80</v>
      </c>
      <c r="P161" s="2">
        <f>SUM(kip[[#This Row],[Orders_Delivered_OnTime]]/kip[[#This Row],[Orders_Placed]]*100)</f>
        <v>75</v>
      </c>
    </row>
    <row r="162" spans="1:16" x14ac:dyDescent="0.3">
      <c r="A162" s="3" t="s">
        <v>196</v>
      </c>
      <c r="B162" s="1" t="s">
        <v>186</v>
      </c>
      <c r="C162" s="1" t="s">
        <v>38</v>
      </c>
      <c r="D162" s="1" t="s">
        <v>18</v>
      </c>
      <c r="E162" s="1" t="s">
        <v>19</v>
      </c>
      <c r="F162" s="1">
        <v>143</v>
      </c>
      <c r="G162" s="1">
        <v>126</v>
      </c>
      <c r="H162" s="1">
        <v>17</v>
      </c>
      <c r="I162" s="1">
        <v>379</v>
      </c>
      <c r="J162" s="1">
        <v>133</v>
      </c>
      <c r="K162" s="1">
        <v>3</v>
      </c>
      <c r="L162" s="1">
        <v>219613</v>
      </c>
      <c r="M162" s="1">
        <v>244012</v>
      </c>
      <c r="N162" s="1">
        <v>8</v>
      </c>
      <c r="O162" s="5">
        <v>143</v>
      </c>
      <c r="P162" s="2">
        <f>SUM(kip[[#This Row],[Orders_Delivered_OnTime]]/kip[[#This Row],[Orders_Placed]]*100)</f>
        <v>88.111888111888121</v>
      </c>
    </row>
    <row r="163" spans="1:16" x14ac:dyDescent="0.3">
      <c r="A163" s="4" t="s">
        <v>197</v>
      </c>
      <c r="B163" s="2" t="s">
        <v>186</v>
      </c>
      <c r="C163" s="2" t="s">
        <v>38</v>
      </c>
      <c r="D163" s="2" t="s">
        <v>21</v>
      </c>
      <c r="E163" s="2" t="s">
        <v>29</v>
      </c>
      <c r="F163" s="2">
        <v>89</v>
      </c>
      <c r="G163" s="2">
        <v>71</v>
      </c>
      <c r="H163" s="2">
        <v>18</v>
      </c>
      <c r="I163" s="2">
        <v>243</v>
      </c>
      <c r="J163" s="2">
        <v>211</v>
      </c>
      <c r="K163" s="2">
        <v>0</v>
      </c>
      <c r="L163" s="2">
        <v>200521</v>
      </c>
      <c r="M163" s="2">
        <v>235882</v>
      </c>
      <c r="N163" s="2">
        <v>5</v>
      </c>
      <c r="O163" s="6">
        <v>89</v>
      </c>
      <c r="P163" s="2">
        <f>SUM(kip[[#This Row],[Orders_Delivered_OnTime]]/kip[[#This Row],[Orders_Placed]]*100)</f>
        <v>79.775280898876403</v>
      </c>
    </row>
    <row r="164" spans="1:16" x14ac:dyDescent="0.3">
      <c r="A164" s="3" t="s">
        <v>198</v>
      </c>
      <c r="B164" s="1" t="s">
        <v>186</v>
      </c>
      <c r="C164" s="1" t="s">
        <v>38</v>
      </c>
      <c r="D164" s="1" t="s">
        <v>23</v>
      </c>
      <c r="E164" s="1" t="s">
        <v>32</v>
      </c>
      <c r="F164" s="1">
        <v>153</v>
      </c>
      <c r="G164" s="1">
        <v>122</v>
      </c>
      <c r="H164" s="1">
        <v>31</v>
      </c>
      <c r="I164" s="1">
        <v>627</v>
      </c>
      <c r="J164" s="1">
        <v>174</v>
      </c>
      <c r="K164" s="1">
        <v>0</v>
      </c>
      <c r="L164" s="1">
        <v>186176</v>
      </c>
      <c r="M164" s="1">
        <v>168723</v>
      </c>
      <c r="N164" s="1">
        <v>5</v>
      </c>
      <c r="O164" s="5">
        <v>153</v>
      </c>
      <c r="P164" s="2">
        <f>SUM(kip[[#This Row],[Orders_Delivered_OnTime]]/kip[[#This Row],[Orders_Placed]]*100)</f>
        <v>79.738562091503269</v>
      </c>
    </row>
    <row r="165" spans="1:16" x14ac:dyDescent="0.3">
      <c r="A165" s="4" t="s">
        <v>199</v>
      </c>
      <c r="B165" s="2" t="s">
        <v>186</v>
      </c>
      <c r="C165" s="2" t="s">
        <v>38</v>
      </c>
      <c r="D165" s="2" t="s">
        <v>26</v>
      </c>
      <c r="E165" s="2" t="s">
        <v>24</v>
      </c>
      <c r="F165" s="2">
        <v>182</v>
      </c>
      <c r="G165" s="2">
        <v>170</v>
      </c>
      <c r="H165" s="2">
        <v>12</v>
      </c>
      <c r="I165" s="2">
        <v>671</v>
      </c>
      <c r="J165" s="2">
        <v>276</v>
      </c>
      <c r="K165" s="2">
        <v>2</v>
      </c>
      <c r="L165" s="2">
        <v>103102</v>
      </c>
      <c r="M165" s="2">
        <v>106299</v>
      </c>
      <c r="N165" s="2">
        <v>1</v>
      </c>
      <c r="O165" s="6">
        <v>182</v>
      </c>
      <c r="P165" s="2">
        <f>SUM(kip[[#This Row],[Orders_Delivered_OnTime]]/kip[[#This Row],[Orders_Placed]]*100)</f>
        <v>93.406593406593402</v>
      </c>
    </row>
    <row r="166" spans="1:16" x14ac:dyDescent="0.3">
      <c r="A166" s="3" t="s">
        <v>200</v>
      </c>
      <c r="B166" s="1" t="s">
        <v>186</v>
      </c>
      <c r="C166" s="1" t="s">
        <v>38</v>
      </c>
      <c r="D166" s="1" t="s">
        <v>28</v>
      </c>
      <c r="E166" s="1" t="s">
        <v>24</v>
      </c>
      <c r="F166" s="1">
        <v>135</v>
      </c>
      <c r="G166" s="1">
        <v>114</v>
      </c>
      <c r="H166" s="1">
        <v>21</v>
      </c>
      <c r="I166" s="1">
        <v>736</v>
      </c>
      <c r="J166" s="1">
        <v>120</v>
      </c>
      <c r="K166" s="1">
        <v>3</v>
      </c>
      <c r="L166" s="1">
        <v>161336</v>
      </c>
      <c r="M166" s="1">
        <v>181299</v>
      </c>
      <c r="N166" s="1">
        <v>3</v>
      </c>
      <c r="O166" s="5">
        <v>135</v>
      </c>
      <c r="P166" s="2">
        <f>SUM(kip[[#This Row],[Orders_Delivered_OnTime]]/kip[[#This Row],[Orders_Placed]]*100)</f>
        <v>84.444444444444443</v>
      </c>
    </row>
    <row r="167" spans="1:16" x14ac:dyDescent="0.3">
      <c r="A167" s="4" t="s">
        <v>201</v>
      </c>
      <c r="B167" s="2" t="s">
        <v>186</v>
      </c>
      <c r="C167" s="2" t="s">
        <v>44</v>
      </c>
      <c r="D167" s="2" t="s">
        <v>18</v>
      </c>
      <c r="E167" s="2" t="s">
        <v>29</v>
      </c>
      <c r="F167" s="2">
        <v>179</v>
      </c>
      <c r="G167" s="2">
        <v>132</v>
      </c>
      <c r="H167" s="2">
        <v>47</v>
      </c>
      <c r="I167" s="2">
        <v>722</v>
      </c>
      <c r="J167" s="2">
        <v>262</v>
      </c>
      <c r="K167" s="2">
        <v>0</v>
      </c>
      <c r="L167" s="2">
        <v>219094</v>
      </c>
      <c r="M167" s="2">
        <v>230702</v>
      </c>
      <c r="N167" s="2">
        <v>14</v>
      </c>
      <c r="O167" s="6">
        <v>179</v>
      </c>
      <c r="P167" s="2">
        <f>SUM(kip[[#This Row],[Orders_Delivered_OnTime]]/kip[[#This Row],[Orders_Placed]]*100)</f>
        <v>73.743016759776538</v>
      </c>
    </row>
    <row r="168" spans="1:16" x14ac:dyDescent="0.3">
      <c r="A168" s="3" t="s">
        <v>202</v>
      </c>
      <c r="B168" s="1" t="s">
        <v>186</v>
      </c>
      <c r="C168" s="1" t="s">
        <v>44</v>
      </c>
      <c r="D168" s="1" t="s">
        <v>21</v>
      </c>
      <c r="E168" s="1" t="s">
        <v>29</v>
      </c>
      <c r="F168" s="1">
        <v>124</v>
      </c>
      <c r="G168" s="1">
        <v>109</v>
      </c>
      <c r="H168" s="1">
        <v>15</v>
      </c>
      <c r="I168" s="1">
        <v>351</v>
      </c>
      <c r="J168" s="1">
        <v>160</v>
      </c>
      <c r="K168" s="1">
        <v>0</v>
      </c>
      <c r="L168" s="1">
        <v>118389</v>
      </c>
      <c r="M168" s="1">
        <v>115641</v>
      </c>
      <c r="N168" s="1">
        <v>2</v>
      </c>
      <c r="O168" s="5">
        <v>124</v>
      </c>
      <c r="P168" s="2">
        <f>SUM(kip[[#This Row],[Orders_Delivered_OnTime]]/kip[[#This Row],[Orders_Placed]]*100)</f>
        <v>87.903225806451616</v>
      </c>
    </row>
    <row r="169" spans="1:16" x14ac:dyDescent="0.3">
      <c r="A169" s="4" t="s">
        <v>203</v>
      </c>
      <c r="B169" s="2" t="s">
        <v>186</v>
      </c>
      <c r="C169" s="2" t="s">
        <v>44</v>
      </c>
      <c r="D169" s="2" t="s">
        <v>23</v>
      </c>
      <c r="E169" s="2" t="s">
        <v>24</v>
      </c>
      <c r="F169" s="2">
        <v>177</v>
      </c>
      <c r="G169" s="2">
        <v>157</v>
      </c>
      <c r="H169" s="2">
        <v>20</v>
      </c>
      <c r="I169" s="2">
        <v>277</v>
      </c>
      <c r="J169" s="2">
        <v>145</v>
      </c>
      <c r="K169" s="2">
        <v>5</v>
      </c>
      <c r="L169" s="2">
        <v>209529</v>
      </c>
      <c r="M169" s="2">
        <v>217739</v>
      </c>
      <c r="N169" s="2">
        <v>9</v>
      </c>
      <c r="O169" s="6">
        <v>177</v>
      </c>
      <c r="P169" s="2">
        <f>SUM(kip[[#This Row],[Orders_Delivered_OnTime]]/kip[[#This Row],[Orders_Placed]]*100)</f>
        <v>88.700564971751419</v>
      </c>
    </row>
    <row r="170" spans="1:16" x14ac:dyDescent="0.3">
      <c r="A170" s="3" t="s">
        <v>204</v>
      </c>
      <c r="B170" s="1" t="s">
        <v>186</v>
      </c>
      <c r="C170" s="1" t="s">
        <v>44</v>
      </c>
      <c r="D170" s="1" t="s">
        <v>26</v>
      </c>
      <c r="E170" s="1" t="s">
        <v>32</v>
      </c>
      <c r="F170" s="1">
        <v>167</v>
      </c>
      <c r="G170" s="1">
        <v>155</v>
      </c>
      <c r="H170" s="1">
        <v>12</v>
      </c>
      <c r="I170" s="1">
        <v>778</v>
      </c>
      <c r="J170" s="1">
        <v>264</v>
      </c>
      <c r="K170" s="1">
        <v>5</v>
      </c>
      <c r="L170" s="1">
        <v>243714</v>
      </c>
      <c r="M170" s="1">
        <v>242973</v>
      </c>
      <c r="N170" s="1">
        <v>10</v>
      </c>
      <c r="O170" s="5">
        <v>167</v>
      </c>
      <c r="P170" s="2">
        <f>SUM(kip[[#This Row],[Orders_Delivered_OnTime]]/kip[[#This Row],[Orders_Placed]]*100)</f>
        <v>92.814371257485035</v>
      </c>
    </row>
    <row r="171" spans="1:16" x14ac:dyDescent="0.3">
      <c r="A171" s="4" t="s">
        <v>205</v>
      </c>
      <c r="B171" s="2" t="s">
        <v>186</v>
      </c>
      <c r="C171" s="2" t="s">
        <v>44</v>
      </c>
      <c r="D171" s="2" t="s">
        <v>28</v>
      </c>
      <c r="E171" s="2" t="s">
        <v>29</v>
      </c>
      <c r="F171" s="2">
        <v>99</v>
      </c>
      <c r="G171" s="2">
        <v>80</v>
      </c>
      <c r="H171" s="2">
        <v>19</v>
      </c>
      <c r="I171" s="2">
        <v>680</v>
      </c>
      <c r="J171" s="2">
        <v>213</v>
      </c>
      <c r="K171" s="2">
        <v>5</v>
      </c>
      <c r="L171" s="2">
        <v>159382</v>
      </c>
      <c r="M171" s="2">
        <v>181519</v>
      </c>
      <c r="N171" s="2">
        <v>0</v>
      </c>
      <c r="O171" s="6">
        <v>99</v>
      </c>
      <c r="P171" s="2">
        <f>SUM(kip[[#This Row],[Orders_Delivered_OnTime]]/kip[[#This Row],[Orders_Placed]]*100)</f>
        <v>80.808080808080803</v>
      </c>
    </row>
    <row r="172" spans="1:16" x14ac:dyDescent="0.3">
      <c r="A172" s="3" t="s">
        <v>206</v>
      </c>
      <c r="B172" s="1" t="s">
        <v>186</v>
      </c>
      <c r="C172" s="1" t="s">
        <v>50</v>
      </c>
      <c r="D172" s="1" t="s">
        <v>18</v>
      </c>
      <c r="E172" s="1" t="s">
        <v>29</v>
      </c>
      <c r="F172" s="1">
        <v>144</v>
      </c>
      <c r="G172" s="1">
        <v>103</v>
      </c>
      <c r="H172" s="1">
        <v>41</v>
      </c>
      <c r="I172" s="1">
        <v>672</v>
      </c>
      <c r="J172" s="1">
        <v>215</v>
      </c>
      <c r="K172" s="1">
        <v>0</v>
      </c>
      <c r="L172" s="1">
        <v>94913</v>
      </c>
      <c r="M172" s="1">
        <v>95921</v>
      </c>
      <c r="N172" s="1">
        <v>4</v>
      </c>
      <c r="O172" s="5">
        <v>144</v>
      </c>
      <c r="P172" s="2">
        <f>SUM(kip[[#This Row],[Orders_Delivered_OnTime]]/kip[[#This Row],[Orders_Placed]]*100)</f>
        <v>71.527777777777786</v>
      </c>
    </row>
    <row r="173" spans="1:16" x14ac:dyDescent="0.3">
      <c r="A173" s="4" t="s">
        <v>207</v>
      </c>
      <c r="B173" s="2" t="s">
        <v>186</v>
      </c>
      <c r="C173" s="2" t="s">
        <v>50</v>
      </c>
      <c r="D173" s="2" t="s">
        <v>21</v>
      </c>
      <c r="E173" s="2" t="s">
        <v>19</v>
      </c>
      <c r="F173" s="2">
        <v>162</v>
      </c>
      <c r="G173" s="2">
        <v>148</v>
      </c>
      <c r="H173" s="2">
        <v>14</v>
      </c>
      <c r="I173" s="2">
        <v>292</v>
      </c>
      <c r="J173" s="2">
        <v>257</v>
      </c>
      <c r="K173" s="2">
        <v>4</v>
      </c>
      <c r="L173" s="2">
        <v>212924</v>
      </c>
      <c r="M173" s="2">
        <v>216191</v>
      </c>
      <c r="N173" s="2">
        <v>9</v>
      </c>
      <c r="O173" s="6">
        <v>162</v>
      </c>
      <c r="P173" s="2">
        <f>SUM(kip[[#This Row],[Orders_Delivered_OnTime]]/kip[[#This Row],[Orders_Placed]]*100)</f>
        <v>91.358024691358025</v>
      </c>
    </row>
    <row r="174" spans="1:16" x14ac:dyDescent="0.3">
      <c r="A174" s="3" t="s">
        <v>208</v>
      </c>
      <c r="B174" s="1" t="s">
        <v>186</v>
      </c>
      <c r="C174" s="1" t="s">
        <v>50</v>
      </c>
      <c r="D174" s="1" t="s">
        <v>23</v>
      </c>
      <c r="E174" s="1" t="s">
        <v>19</v>
      </c>
      <c r="F174" s="1">
        <v>137</v>
      </c>
      <c r="G174" s="1">
        <v>127</v>
      </c>
      <c r="H174" s="1">
        <v>10</v>
      </c>
      <c r="I174" s="1">
        <v>785</v>
      </c>
      <c r="J174" s="1">
        <v>266</v>
      </c>
      <c r="K174" s="1">
        <v>1</v>
      </c>
      <c r="L174" s="1">
        <v>164286</v>
      </c>
      <c r="M174" s="1">
        <v>177675</v>
      </c>
      <c r="N174" s="1">
        <v>8</v>
      </c>
      <c r="O174" s="5">
        <v>137</v>
      </c>
      <c r="P174" s="2">
        <f>SUM(kip[[#This Row],[Orders_Delivered_OnTime]]/kip[[#This Row],[Orders_Placed]]*100)</f>
        <v>92.700729927007302</v>
      </c>
    </row>
    <row r="175" spans="1:16" x14ac:dyDescent="0.3">
      <c r="A175" s="4" t="s">
        <v>209</v>
      </c>
      <c r="B175" s="2" t="s">
        <v>186</v>
      </c>
      <c r="C175" s="2" t="s">
        <v>50</v>
      </c>
      <c r="D175" s="2" t="s">
        <v>26</v>
      </c>
      <c r="E175" s="2" t="s">
        <v>24</v>
      </c>
      <c r="F175" s="2">
        <v>87</v>
      </c>
      <c r="G175" s="2">
        <v>70</v>
      </c>
      <c r="H175" s="2">
        <v>17</v>
      </c>
      <c r="I175" s="2">
        <v>551</v>
      </c>
      <c r="J175" s="2">
        <v>282</v>
      </c>
      <c r="K175" s="2">
        <v>0</v>
      </c>
      <c r="L175" s="2">
        <v>212264</v>
      </c>
      <c r="M175" s="2">
        <v>232182</v>
      </c>
      <c r="N175" s="2">
        <v>0</v>
      </c>
      <c r="O175" s="6">
        <v>87</v>
      </c>
      <c r="P175" s="2">
        <f>SUM(kip[[#This Row],[Orders_Delivered_OnTime]]/kip[[#This Row],[Orders_Placed]]*100)</f>
        <v>80.459770114942529</v>
      </c>
    </row>
    <row r="176" spans="1:16" x14ac:dyDescent="0.3">
      <c r="A176" s="3" t="s">
        <v>210</v>
      </c>
      <c r="B176" s="1" t="s">
        <v>186</v>
      </c>
      <c r="C176" s="1" t="s">
        <v>50</v>
      </c>
      <c r="D176" s="1" t="s">
        <v>28</v>
      </c>
      <c r="E176" s="1" t="s">
        <v>24</v>
      </c>
      <c r="F176" s="1">
        <v>170</v>
      </c>
      <c r="G176" s="1">
        <v>137</v>
      </c>
      <c r="H176" s="1">
        <v>33</v>
      </c>
      <c r="I176" s="1">
        <v>649</v>
      </c>
      <c r="J176" s="1">
        <v>234</v>
      </c>
      <c r="K176" s="1">
        <v>4</v>
      </c>
      <c r="L176" s="1">
        <v>239856</v>
      </c>
      <c r="M176" s="1">
        <v>227293</v>
      </c>
      <c r="N176" s="1">
        <v>5</v>
      </c>
      <c r="O176" s="5">
        <v>170</v>
      </c>
      <c r="P176" s="2">
        <f>SUM(kip[[#This Row],[Orders_Delivered_OnTime]]/kip[[#This Row],[Orders_Placed]]*100)</f>
        <v>80.588235294117652</v>
      </c>
    </row>
    <row r="177" spans="1:16" x14ac:dyDescent="0.3">
      <c r="A177" s="4" t="s">
        <v>211</v>
      </c>
      <c r="B177" s="2" t="s">
        <v>212</v>
      </c>
      <c r="C177" s="2" t="s">
        <v>17</v>
      </c>
      <c r="D177" s="2" t="s">
        <v>18</v>
      </c>
      <c r="E177" s="2" t="s">
        <v>29</v>
      </c>
      <c r="F177" s="2">
        <v>129</v>
      </c>
      <c r="G177" s="2">
        <v>103</v>
      </c>
      <c r="H177" s="2">
        <v>26</v>
      </c>
      <c r="I177" s="2">
        <v>546</v>
      </c>
      <c r="J177" s="2">
        <v>273</v>
      </c>
      <c r="K177" s="2">
        <v>4</v>
      </c>
      <c r="L177" s="2">
        <v>93727</v>
      </c>
      <c r="M177" s="2">
        <v>106545</v>
      </c>
      <c r="N177" s="2">
        <v>10</v>
      </c>
      <c r="O177" s="6">
        <v>129</v>
      </c>
      <c r="P177" s="2">
        <f>SUM(kip[[#This Row],[Orders_Delivered_OnTime]]/kip[[#This Row],[Orders_Placed]]*100)</f>
        <v>79.84496124031007</v>
      </c>
    </row>
    <row r="178" spans="1:16" x14ac:dyDescent="0.3">
      <c r="A178" s="3" t="s">
        <v>213</v>
      </c>
      <c r="B178" s="1" t="s">
        <v>212</v>
      </c>
      <c r="C178" s="1" t="s">
        <v>17</v>
      </c>
      <c r="D178" s="1" t="s">
        <v>21</v>
      </c>
      <c r="E178" s="1" t="s">
        <v>29</v>
      </c>
      <c r="F178" s="1">
        <v>88</v>
      </c>
      <c r="G178" s="1">
        <v>68</v>
      </c>
      <c r="H178" s="1">
        <v>20</v>
      </c>
      <c r="I178" s="1">
        <v>771</v>
      </c>
      <c r="J178" s="1">
        <v>273</v>
      </c>
      <c r="K178" s="1">
        <v>3</v>
      </c>
      <c r="L178" s="1">
        <v>154487</v>
      </c>
      <c r="M178" s="1">
        <v>150717</v>
      </c>
      <c r="N178" s="1">
        <v>2</v>
      </c>
      <c r="O178" s="5">
        <v>88</v>
      </c>
      <c r="P178" s="2">
        <f>SUM(kip[[#This Row],[Orders_Delivered_OnTime]]/kip[[#This Row],[Orders_Placed]]*100)</f>
        <v>77.272727272727266</v>
      </c>
    </row>
    <row r="179" spans="1:16" x14ac:dyDescent="0.3">
      <c r="A179" s="4" t="s">
        <v>214</v>
      </c>
      <c r="B179" s="2" t="s">
        <v>212</v>
      </c>
      <c r="C179" s="2" t="s">
        <v>17</v>
      </c>
      <c r="D179" s="2" t="s">
        <v>23</v>
      </c>
      <c r="E179" s="2" t="s">
        <v>29</v>
      </c>
      <c r="F179" s="2">
        <v>90</v>
      </c>
      <c r="G179" s="2">
        <v>76</v>
      </c>
      <c r="H179" s="2">
        <v>14</v>
      </c>
      <c r="I179" s="2">
        <v>344</v>
      </c>
      <c r="J179" s="2">
        <v>189</v>
      </c>
      <c r="K179" s="2">
        <v>2</v>
      </c>
      <c r="L179" s="2">
        <v>182749</v>
      </c>
      <c r="M179" s="2">
        <v>171543</v>
      </c>
      <c r="N179" s="2">
        <v>1</v>
      </c>
      <c r="O179" s="6">
        <v>90</v>
      </c>
      <c r="P179" s="2">
        <f>SUM(kip[[#This Row],[Orders_Delivered_OnTime]]/kip[[#This Row],[Orders_Placed]]*100)</f>
        <v>84.444444444444443</v>
      </c>
    </row>
    <row r="180" spans="1:16" x14ac:dyDescent="0.3">
      <c r="A180" s="3" t="s">
        <v>215</v>
      </c>
      <c r="B180" s="1" t="s">
        <v>212</v>
      </c>
      <c r="C180" s="1" t="s">
        <v>17</v>
      </c>
      <c r="D180" s="1" t="s">
        <v>26</v>
      </c>
      <c r="E180" s="1" t="s">
        <v>29</v>
      </c>
      <c r="F180" s="1">
        <v>151</v>
      </c>
      <c r="G180" s="1">
        <v>119</v>
      </c>
      <c r="H180" s="1">
        <v>32</v>
      </c>
      <c r="I180" s="1">
        <v>536</v>
      </c>
      <c r="J180" s="1">
        <v>132</v>
      </c>
      <c r="K180" s="1">
        <v>5</v>
      </c>
      <c r="L180" s="1">
        <v>217990</v>
      </c>
      <c r="M180" s="1">
        <v>202302</v>
      </c>
      <c r="N180" s="1">
        <v>10</v>
      </c>
      <c r="O180" s="5">
        <v>151</v>
      </c>
      <c r="P180" s="2">
        <f>SUM(kip[[#This Row],[Orders_Delivered_OnTime]]/kip[[#This Row],[Orders_Placed]]*100)</f>
        <v>78.807947019867555</v>
      </c>
    </row>
    <row r="181" spans="1:16" x14ac:dyDescent="0.3">
      <c r="A181" s="4" t="s">
        <v>216</v>
      </c>
      <c r="B181" s="2" t="s">
        <v>212</v>
      </c>
      <c r="C181" s="2" t="s">
        <v>17</v>
      </c>
      <c r="D181" s="2" t="s">
        <v>28</v>
      </c>
      <c r="E181" s="2" t="s">
        <v>32</v>
      </c>
      <c r="F181" s="2">
        <v>145</v>
      </c>
      <c r="G181" s="2">
        <v>114</v>
      </c>
      <c r="H181" s="2">
        <v>31</v>
      </c>
      <c r="I181" s="2">
        <v>571</v>
      </c>
      <c r="J181" s="2">
        <v>179</v>
      </c>
      <c r="K181" s="2">
        <v>1</v>
      </c>
      <c r="L181" s="2">
        <v>136149</v>
      </c>
      <c r="M181" s="2">
        <v>136492</v>
      </c>
      <c r="N181" s="2">
        <v>7</v>
      </c>
      <c r="O181" s="6">
        <v>145</v>
      </c>
      <c r="P181" s="2">
        <f>SUM(kip[[#This Row],[Orders_Delivered_OnTime]]/kip[[#This Row],[Orders_Placed]]*100)</f>
        <v>78.620689655172413</v>
      </c>
    </row>
    <row r="182" spans="1:16" x14ac:dyDescent="0.3">
      <c r="A182" s="3" t="s">
        <v>217</v>
      </c>
      <c r="B182" s="1" t="s">
        <v>212</v>
      </c>
      <c r="C182" s="1" t="s">
        <v>31</v>
      </c>
      <c r="D182" s="1" t="s">
        <v>18</v>
      </c>
      <c r="E182" s="1" t="s">
        <v>24</v>
      </c>
      <c r="F182" s="1">
        <v>108</v>
      </c>
      <c r="G182" s="1">
        <v>102</v>
      </c>
      <c r="H182" s="1">
        <v>6</v>
      </c>
      <c r="I182" s="1">
        <v>358</v>
      </c>
      <c r="J182" s="1">
        <v>119</v>
      </c>
      <c r="K182" s="1">
        <v>2</v>
      </c>
      <c r="L182" s="1">
        <v>106513</v>
      </c>
      <c r="M182" s="1">
        <v>112084</v>
      </c>
      <c r="N182" s="1">
        <v>8</v>
      </c>
      <c r="O182" s="5">
        <v>108</v>
      </c>
      <c r="P182" s="2">
        <f>SUM(kip[[#This Row],[Orders_Delivered_OnTime]]/kip[[#This Row],[Orders_Placed]]*100)</f>
        <v>94.444444444444443</v>
      </c>
    </row>
    <row r="183" spans="1:16" x14ac:dyDescent="0.3">
      <c r="A183" s="4" t="s">
        <v>218</v>
      </c>
      <c r="B183" s="2" t="s">
        <v>212</v>
      </c>
      <c r="C183" s="2" t="s">
        <v>31</v>
      </c>
      <c r="D183" s="2" t="s">
        <v>21</v>
      </c>
      <c r="E183" s="2" t="s">
        <v>19</v>
      </c>
      <c r="F183" s="2">
        <v>164</v>
      </c>
      <c r="G183" s="2">
        <v>128</v>
      </c>
      <c r="H183" s="2">
        <v>36</v>
      </c>
      <c r="I183" s="2">
        <v>334</v>
      </c>
      <c r="J183" s="2">
        <v>252</v>
      </c>
      <c r="K183" s="2">
        <v>3</v>
      </c>
      <c r="L183" s="2">
        <v>120436</v>
      </c>
      <c r="M183" s="2">
        <v>114254</v>
      </c>
      <c r="N183" s="2">
        <v>13</v>
      </c>
      <c r="O183" s="6">
        <v>164</v>
      </c>
      <c r="P183" s="2">
        <f>SUM(kip[[#This Row],[Orders_Delivered_OnTime]]/kip[[#This Row],[Orders_Placed]]*100)</f>
        <v>78.048780487804876</v>
      </c>
    </row>
    <row r="184" spans="1:16" x14ac:dyDescent="0.3">
      <c r="A184" s="3" t="s">
        <v>219</v>
      </c>
      <c r="B184" s="1" t="s">
        <v>212</v>
      </c>
      <c r="C184" s="1" t="s">
        <v>31</v>
      </c>
      <c r="D184" s="1" t="s">
        <v>23</v>
      </c>
      <c r="E184" s="1" t="s">
        <v>24</v>
      </c>
      <c r="F184" s="1">
        <v>172</v>
      </c>
      <c r="G184" s="1">
        <v>139</v>
      </c>
      <c r="H184" s="1">
        <v>33</v>
      </c>
      <c r="I184" s="1">
        <v>620</v>
      </c>
      <c r="J184" s="1">
        <v>193</v>
      </c>
      <c r="K184" s="1">
        <v>5</v>
      </c>
      <c r="L184" s="1">
        <v>142267</v>
      </c>
      <c r="M184" s="1">
        <v>169422</v>
      </c>
      <c r="N184" s="1">
        <v>9</v>
      </c>
      <c r="O184" s="5">
        <v>172</v>
      </c>
      <c r="P184" s="2">
        <f>SUM(kip[[#This Row],[Orders_Delivered_OnTime]]/kip[[#This Row],[Orders_Placed]]*100)</f>
        <v>80.813953488372093</v>
      </c>
    </row>
    <row r="185" spans="1:16" x14ac:dyDescent="0.3">
      <c r="A185" s="4" t="s">
        <v>220</v>
      </c>
      <c r="B185" s="2" t="s">
        <v>212</v>
      </c>
      <c r="C185" s="2" t="s">
        <v>31</v>
      </c>
      <c r="D185" s="2" t="s">
        <v>26</v>
      </c>
      <c r="E185" s="2" t="s">
        <v>29</v>
      </c>
      <c r="F185" s="2">
        <v>176</v>
      </c>
      <c r="G185" s="2">
        <v>156</v>
      </c>
      <c r="H185" s="2">
        <v>20</v>
      </c>
      <c r="I185" s="2">
        <v>659</v>
      </c>
      <c r="J185" s="2">
        <v>159</v>
      </c>
      <c r="K185" s="2">
        <v>4</v>
      </c>
      <c r="L185" s="2">
        <v>142696</v>
      </c>
      <c r="M185" s="2">
        <v>141674</v>
      </c>
      <c r="N185" s="2">
        <v>12</v>
      </c>
      <c r="O185" s="6">
        <v>176</v>
      </c>
      <c r="P185" s="2">
        <f>SUM(kip[[#This Row],[Orders_Delivered_OnTime]]/kip[[#This Row],[Orders_Placed]]*100)</f>
        <v>88.63636363636364</v>
      </c>
    </row>
    <row r="186" spans="1:16" x14ac:dyDescent="0.3">
      <c r="A186" s="3" t="s">
        <v>221</v>
      </c>
      <c r="B186" s="1" t="s">
        <v>212</v>
      </c>
      <c r="C186" s="1" t="s">
        <v>31</v>
      </c>
      <c r="D186" s="1" t="s">
        <v>28</v>
      </c>
      <c r="E186" s="1" t="s">
        <v>32</v>
      </c>
      <c r="F186" s="1">
        <v>195</v>
      </c>
      <c r="G186" s="1">
        <v>177</v>
      </c>
      <c r="H186" s="1">
        <v>18</v>
      </c>
      <c r="I186" s="1">
        <v>576</v>
      </c>
      <c r="J186" s="1">
        <v>273</v>
      </c>
      <c r="K186" s="1">
        <v>4</v>
      </c>
      <c r="L186" s="1">
        <v>195499</v>
      </c>
      <c r="M186" s="1">
        <v>203026</v>
      </c>
      <c r="N186" s="1">
        <v>9</v>
      </c>
      <c r="O186" s="5">
        <v>195</v>
      </c>
      <c r="P186" s="2">
        <f>SUM(kip[[#This Row],[Orders_Delivered_OnTime]]/kip[[#This Row],[Orders_Placed]]*100)</f>
        <v>90.769230769230774</v>
      </c>
    </row>
    <row r="187" spans="1:16" x14ac:dyDescent="0.3">
      <c r="A187" s="4" t="s">
        <v>222</v>
      </c>
      <c r="B187" s="2" t="s">
        <v>212</v>
      </c>
      <c r="C187" s="2" t="s">
        <v>38</v>
      </c>
      <c r="D187" s="2" t="s">
        <v>18</v>
      </c>
      <c r="E187" s="2" t="s">
        <v>32</v>
      </c>
      <c r="F187" s="2">
        <v>144</v>
      </c>
      <c r="G187" s="2">
        <v>119</v>
      </c>
      <c r="H187" s="2">
        <v>25</v>
      </c>
      <c r="I187" s="2">
        <v>365</v>
      </c>
      <c r="J187" s="2">
        <v>151</v>
      </c>
      <c r="K187" s="2">
        <v>4</v>
      </c>
      <c r="L187" s="2">
        <v>116280</v>
      </c>
      <c r="M187" s="2">
        <v>135105</v>
      </c>
      <c r="N187" s="2">
        <v>0</v>
      </c>
      <c r="O187" s="6">
        <v>144</v>
      </c>
      <c r="P187" s="2">
        <f>SUM(kip[[#This Row],[Orders_Delivered_OnTime]]/kip[[#This Row],[Orders_Placed]]*100)</f>
        <v>82.638888888888886</v>
      </c>
    </row>
    <row r="188" spans="1:16" x14ac:dyDescent="0.3">
      <c r="A188" s="3" t="s">
        <v>223</v>
      </c>
      <c r="B188" s="1" t="s">
        <v>212</v>
      </c>
      <c r="C188" s="1" t="s">
        <v>38</v>
      </c>
      <c r="D188" s="1" t="s">
        <v>21</v>
      </c>
      <c r="E188" s="1" t="s">
        <v>32</v>
      </c>
      <c r="F188" s="1">
        <v>191</v>
      </c>
      <c r="G188" s="1">
        <v>151</v>
      </c>
      <c r="H188" s="1">
        <v>40</v>
      </c>
      <c r="I188" s="1">
        <v>305</v>
      </c>
      <c r="J188" s="1">
        <v>282</v>
      </c>
      <c r="K188" s="1">
        <v>4</v>
      </c>
      <c r="L188" s="1">
        <v>112683</v>
      </c>
      <c r="M188" s="1">
        <v>111051</v>
      </c>
      <c r="N188" s="1">
        <v>5</v>
      </c>
      <c r="O188" s="5">
        <v>191</v>
      </c>
      <c r="P188" s="2">
        <f>SUM(kip[[#This Row],[Orders_Delivered_OnTime]]/kip[[#This Row],[Orders_Placed]]*100)</f>
        <v>79.057591623036643</v>
      </c>
    </row>
    <row r="189" spans="1:16" x14ac:dyDescent="0.3">
      <c r="A189" s="4" t="s">
        <v>224</v>
      </c>
      <c r="B189" s="2" t="s">
        <v>212</v>
      </c>
      <c r="C189" s="2" t="s">
        <v>38</v>
      </c>
      <c r="D189" s="2" t="s">
        <v>23</v>
      </c>
      <c r="E189" s="2" t="s">
        <v>29</v>
      </c>
      <c r="F189" s="2">
        <v>137</v>
      </c>
      <c r="G189" s="2">
        <v>126</v>
      </c>
      <c r="H189" s="2">
        <v>11</v>
      </c>
      <c r="I189" s="2">
        <v>350</v>
      </c>
      <c r="J189" s="2">
        <v>211</v>
      </c>
      <c r="K189" s="2">
        <v>0</v>
      </c>
      <c r="L189" s="2">
        <v>138205</v>
      </c>
      <c r="M189" s="2">
        <v>158246</v>
      </c>
      <c r="N189" s="2">
        <v>5</v>
      </c>
      <c r="O189" s="6">
        <v>137</v>
      </c>
      <c r="P189" s="2">
        <f>SUM(kip[[#This Row],[Orders_Delivered_OnTime]]/kip[[#This Row],[Orders_Placed]]*100)</f>
        <v>91.970802919708035</v>
      </c>
    </row>
    <row r="190" spans="1:16" x14ac:dyDescent="0.3">
      <c r="A190" s="3" t="s">
        <v>225</v>
      </c>
      <c r="B190" s="1" t="s">
        <v>212</v>
      </c>
      <c r="C190" s="1" t="s">
        <v>38</v>
      </c>
      <c r="D190" s="1" t="s">
        <v>26</v>
      </c>
      <c r="E190" s="1" t="s">
        <v>19</v>
      </c>
      <c r="F190" s="1">
        <v>133</v>
      </c>
      <c r="G190" s="1">
        <v>94</v>
      </c>
      <c r="H190" s="1">
        <v>39</v>
      </c>
      <c r="I190" s="1">
        <v>714</v>
      </c>
      <c r="J190" s="1">
        <v>195</v>
      </c>
      <c r="K190" s="1">
        <v>1</v>
      </c>
      <c r="L190" s="1">
        <v>181231</v>
      </c>
      <c r="M190" s="1">
        <v>217179</v>
      </c>
      <c r="N190" s="1">
        <v>5</v>
      </c>
      <c r="O190" s="5">
        <v>133</v>
      </c>
      <c r="P190" s="2">
        <f>SUM(kip[[#This Row],[Orders_Delivered_OnTime]]/kip[[#This Row],[Orders_Placed]]*100)</f>
        <v>70.676691729323309</v>
      </c>
    </row>
    <row r="191" spans="1:16" x14ac:dyDescent="0.3">
      <c r="A191" s="4" t="s">
        <v>226</v>
      </c>
      <c r="B191" s="2" t="s">
        <v>212</v>
      </c>
      <c r="C191" s="2" t="s">
        <v>38</v>
      </c>
      <c r="D191" s="2" t="s">
        <v>28</v>
      </c>
      <c r="E191" s="2" t="s">
        <v>24</v>
      </c>
      <c r="F191" s="2">
        <v>83</v>
      </c>
      <c r="G191" s="2">
        <v>64</v>
      </c>
      <c r="H191" s="2">
        <v>19</v>
      </c>
      <c r="I191" s="2">
        <v>301</v>
      </c>
      <c r="J191" s="2">
        <v>282</v>
      </c>
      <c r="K191" s="2">
        <v>5</v>
      </c>
      <c r="L191" s="2">
        <v>167894</v>
      </c>
      <c r="M191" s="2">
        <v>190965</v>
      </c>
      <c r="N191" s="2">
        <v>1</v>
      </c>
      <c r="O191" s="6">
        <v>83</v>
      </c>
      <c r="P191" s="2">
        <f>SUM(kip[[#This Row],[Orders_Delivered_OnTime]]/kip[[#This Row],[Orders_Placed]]*100)</f>
        <v>77.108433734939766</v>
      </c>
    </row>
    <row r="192" spans="1:16" x14ac:dyDescent="0.3">
      <c r="A192" s="3" t="s">
        <v>227</v>
      </c>
      <c r="B192" s="1" t="s">
        <v>212</v>
      </c>
      <c r="C192" s="1" t="s">
        <v>44</v>
      </c>
      <c r="D192" s="1" t="s">
        <v>18</v>
      </c>
      <c r="E192" s="1" t="s">
        <v>19</v>
      </c>
      <c r="F192" s="1">
        <v>116</v>
      </c>
      <c r="G192" s="1">
        <v>107</v>
      </c>
      <c r="H192" s="1">
        <v>9</v>
      </c>
      <c r="I192" s="1">
        <v>683</v>
      </c>
      <c r="J192" s="1">
        <v>278</v>
      </c>
      <c r="K192" s="1">
        <v>1</v>
      </c>
      <c r="L192" s="1">
        <v>202974</v>
      </c>
      <c r="M192" s="1">
        <v>209992</v>
      </c>
      <c r="N192" s="1">
        <v>0</v>
      </c>
      <c r="O192" s="5">
        <v>116</v>
      </c>
      <c r="P192" s="2">
        <f>SUM(kip[[#This Row],[Orders_Delivered_OnTime]]/kip[[#This Row],[Orders_Placed]]*100)</f>
        <v>92.241379310344826</v>
      </c>
    </row>
    <row r="193" spans="1:16" x14ac:dyDescent="0.3">
      <c r="A193" s="4" t="s">
        <v>228</v>
      </c>
      <c r="B193" s="2" t="s">
        <v>212</v>
      </c>
      <c r="C193" s="2" t="s">
        <v>44</v>
      </c>
      <c r="D193" s="2" t="s">
        <v>21</v>
      </c>
      <c r="E193" s="2" t="s">
        <v>19</v>
      </c>
      <c r="F193" s="2">
        <v>82</v>
      </c>
      <c r="G193" s="2">
        <v>62</v>
      </c>
      <c r="H193" s="2">
        <v>20</v>
      </c>
      <c r="I193" s="2">
        <v>353</v>
      </c>
      <c r="J193" s="2">
        <v>240</v>
      </c>
      <c r="K193" s="2">
        <v>5</v>
      </c>
      <c r="L193" s="2">
        <v>239614</v>
      </c>
      <c r="M193" s="2">
        <v>253591</v>
      </c>
      <c r="N193" s="2">
        <v>0</v>
      </c>
      <c r="O193" s="6">
        <v>82</v>
      </c>
      <c r="P193" s="2">
        <f>SUM(kip[[#This Row],[Orders_Delivered_OnTime]]/kip[[#This Row],[Orders_Placed]]*100)</f>
        <v>75.609756097560975</v>
      </c>
    </row>
    <row r="194" spans="1:16" x14ac:dyDescent="0.3">
      <c r="A194" s="3" t="s">
        <v>229</v>
      </c>
      <c r="B194" s="1" t="s">
        <v>212</v>
      </c>
      <c r="C194" s="1" t="s">
        <v>44</v>
      </c>
      <c r="D194" s="1" t="s">
        <v>23</v>
      </c>
      <c r="E194" s="1" t="s">
        <v>29</v>
      </c>
      <c r="F194" s="1">
        <v>110</v>
      </c>
      <c r="G194" s="1">
        <v>85</v>
      </c>
      <c r="H194" s="1">
        <v>25</v>
      </c>
      <c r="I194" s="1">
        <v>248</v>
      </c>
      <c r="J194" s="1">
        <v>161</v>
      </c>
      <c r="K194" s="1">
        <v>3</v>
      </c>
      <c r="L194" s="1">
        <v>247497</v>
      </c>
      <c r="M194" s="1">
        <v>281693</v>
      </c>
      <c r="N194" s="1">
        <v>7</v>
      </c>
      <c r="O194" s="5">
        <v>110</v>
      </c>
      <c r="P194" s="2">
        <f>SUM(kip[[#This Row],[Orders_Delivered_OnTime]]/kip[[#This Row],[Orders_Placed]]*100)</f>
        <v>77.272727272727266</v>
      </c>
    </row>
    <row r="195" spans="1:16" x14ac:dyDescent="0.3">
      <c r="A195" s="4" t="s">
        <v>230</v>
      </c>
      <c r="B195" s="2" t="s">
        <v>212</v>
      </c>
      <c r="C195" s="2" t="s">
        <v>44</v>
      </c>
      <c r="D195" s="2" t="s">
        <v>26</v>
      </c>
      <c r="E195" s="2" t="s">
        <v>19</v>
      </c>
      <c r="F195" s="2">
        <v>94</v>
      </c>
      <c r="G195" s="2">
        <v>85</v>
      </c>
      <c r="H195" s="2">
        <v>9</v>
      </c>
      <c r="I195" s="2">
        <v>711</v>
      </c>
      <c r="J195" s="2">
        <v>252</v>
      </c>
      <c r="K195" s="2">
        <v>4</v>
      </c>
      <c r="L195" s="2">
        <v>84308</v>
      </c>
      <c r="M195" s="2">
        <v>91860</v>
      </c>
      <c r="N195" s="2">
        <v>3</v>
      </c>
      <c r="O195" s="6">
        <v>94</v>
      </c>
      <c r="P195" s="2">
        <f>SUM(kip[[#This Row],[Orders_Delivered_OnTime]]/kip[[#This Row],[Orders_Placed]]*100)</f>
        <v>90.425531914893625</v>
      </c>
    </row>
    <row r="196" spans="1:16" x14ac:dyDescent="0.3">
      <c r="A196" s="3" t="s">
        <v>231</v>
      </c>
      <c r="B196" s="1" t="s">
        <v>212</v>
      </c>
      <c r="C196" s="1" t="s">
        <v>44</v>
      </c>
      <c r="D196" s="1" t="s">
        <v>28</v>
      </c>
      <c r="E196" s="1" t="s">
        <v>24</v>
      </c>
      <c r="F196" s="1">
        <v>117</v>
      </c>
      <c r="G196" s="1">
        <v>94</v>
      </c>
      <c r="H196" s="1">
        <v>23</v>
      </c>
      <c r="I196" s="1">
        <v>561</v>
      </c>
      <c r="J196" s="1">
        <v>161</v>
      </c>
      <c r="K196" s="1">
        <v>4</v>
      </c>
      <c r="L196" s="1">
        <v>189200</v>
      </c>
      <c r="M196" s="1">
        <v>180911</v>
      </c>
      <c r="N196" s="1">
        <v>1</v>
      </c>
      <c r="O196" s="5">
        <v>117</v>
      </c>
      <c r="P196" s="2">
        <f>SUM(kip[[#This Row],[Orders_Delivered_OnTime]]/kip[[#This Row],[Orders_Placed]]*100)</f>
        <v>80.341880341880341</v>
      </c>
    </row>
    <row r="197" spans="1:16" x14ac:dyDescent="0.3">
      <c r="A197" s="4" t="s">
        <v>232</v>
      </c>
      <c r="B197" s="2" t="s">
        <v>212</v>
      </c>
      <c r="C197" s="2" t="s">
        <v>50</v>
      </c>
      <c r="D197" s="2" t="s">
        <v>18</v>
      </c>
      <c r="E197" s="2" t="s">
        <v>29</v>
      </c>
      <c r="F197" s="2">
        <v>88</v>
      </c>
      <c r="G197" s="2">
        <v>82</v>
      </c>
      <c r="H197" s="2">
        <v>6</v>
      </c>
      <c r="I197" s="2">
        <v>757</v>
      </c>
      <c r="J197" s="2">
        <v>229</v>
      </c>
      <c r="K197" s="2">
        <v>4</v>
      </c>
      <c r="L197" s="2">
        <v>225267</v>
      </c>
      <c r="M197" s="2">
        <v>204114</v>
      </c>
      <c r="N197" s="2">
        <v>7</v>
      </c>
      <c r="O197" s="6">
        <v>88</v>
      </c>
      <c r="P197" s="2">
        <f>SUM(kip[[#This Row],[Orders_Delivered_OnTime]]/kip[[#This Row],[Orders_Placed]]*100)</f>
        <v>93.181818181818173</v>
      </c>
    </row>
    <row r="198" spans="1:16" x14ac:dyDescent="0.3">
      <c r="A198" s="3" t="s">
        <v>233</v>
      </c>
      <c r="B198" s="1" t="s">
        <v>212</v>
      </c>
      <c r="C198" s="1" t="s">
        <v>50</v>
      </c>
      <c r="D198" s="1" t="s">
        <v>21</v>
      </c>
      <c r="E198" s="1" t="s">
        <v>19</v>
      </c>
      <c r="F198" s="1">
        <v>161</v>
      </c>
      <c r="G198" s="1">
        <v>128</v>
      </c>
      <c r="H198" s="1">
        <v>33</v>
      </c>
      <c r="I198" s="1">
        <v>582</v>
      </c>
      <c r="J198" s="1">
        <v>164</v>
      </c>
      <c r="K198" s="1">
        <v>5</v>
      </c>
      <c r="L198" s="1">
        <v>84257</v>
      </c>
      <c r="M198" s="1">
        <v>84857</v>
      </c>
      <c r="N198" s="1">
        <v>1</v>
      </c>
      <c r="O198" s="5">
        <v>161</v>
      </c>
      <c r="P198" s="2">
        <f>SUM(kip[[#This Row],[Orders_Delivered_OnTime]]/kip[[#This Row],[Orders_Placed]]*100)</f>
        <v>79.503105590062106</v>
      </c>
    </row>
    <row r="199" spans="1:16" x14ac:dyDescent="0.3">
      <c r="A199" s="4" t="s">
        <v>234</v>
      </c>
      <c r="B199" s="2" t="s">
        <v>212</v>
      </c>
      <c r="C199" s="2" t="s">
        <v>50</v>
      </c>
      <c r="D199" s="2" t="s">
        <v>23</v>
      </c>
      <c r="E199" s="2" t="s">
        <v>29</v>
      </c>
      <c r="F199" s="2">
        <v>110</v>
      </c>
      <c r="G199" s="2">
        <v>97</v>
      </c>
      <c r="H199" s="2">
        <v>13</v>
      </c>
      <c r="I199" s="2">
        <v>306</v>
      </c>
      <c r="J199" s="2">
        <v>297</v>
      </c>
      <c r="K199" s="2">
        <v>4</v>
      </c>
      <c r="L199" s="2">
        <v>167167</v>
      </c>
      <c r="M199" s="2">
        <v>157140</v>
      </c>
      <c r="N199" s="2">
        <v>5</v>
      </c>
      <c r="O199" s="6">
        <v>110</v>
      </c>
      <c r="P199" s="2">
        <f>SUM(kip[[#This Row],[Orders_Delivered_OnTime]]/kip[[#This Row],[Orders_Placed]]*100)</f>
        <v>88.181818181818187</v>
      </c>
    </row>
    <row r="200" spans="1:16" x14ac:dyDescent="0.3">
      <c r="A200" s="3" t="s">
        <v>235</v>
      </c>
      <c r="B200" s="1" t="s">
        <v>212</v>
      </c>
      <c r="C200" s="1" t="s">
        <v>50</v>
      </c>
      <c r="D200" s="1" t="s">
        <v>26</v>
      </c>
      <c r="E200" s="1" t="s">
        <v>29</v>
      </c>
      <c r="F200" s="1">
        <v>184</v>
      </c>
      <c r="G200" s="1">
        <v>158</v>
      </c>
      <c r="H200" s="1">
        <v>26</v>
      </c>
      <c r="I200" s="1">
        <v>675</v>
      </c>
      <c r="J200" s="1">
        <v>278</v>
      </c>
      <c r="K200" s="1">
        <v>3</v>
      </c>
      <c r="L200" s="1">
        <v>245605</v>
      </c>
      <c r="M200" s="1">
        <v>234475</v>
      </c>
      <c r="N200" s="1">
        <v>2</v>
      </c>
      <c r="O200" s="5">
        <v>184</v>
      </c>
      <c r="P200" s="2">
        <f>SUM(kip[[#This Row],[Orders_Delivered_OnTime]]/kip[[#This Row],[Orders_Placed]]*100)</f>
        <v>85.869565217391312</v>
      </c>
    </row>
    <row r="201" spans="1:16" x14ac:dyDescent="0.3">
      <c r="A201" s="4" t="s">
        <v>236</v>
      </c>
      <c r="B201" s="2" t="s">
        <v>212</v>
      </c>
      <c r="C201" s="2" t="s">
        <v>50</v>
      </c>
      <c r="D201" s="2" t="s">
        <v>28</v>
      </c>
      <c r="E201" s="2" t="s">
        <v>19</v>
      </c>
      <c r="F201" s="2">
        <v>171</v>
      </c>
      <c r="G201" s="2">
        <v>152</v>
      </c>
      <c r="H201" s="2">
        <v>19</v>
      </c>
      <c r="I201" s="2">
        <v>668</v>
      </c>
      <c r="J201" s="2">
        <v>109</v>
      </c>
      <c r="K201" s="2">
        <v>2</v>
      </c>
      <c r="L201" s="2">
        <v>132845</v>
      </c>
      <c r="M201" s="2">
        <v>121306</v>
      </c>
      <c r="N201" s="2">
        <v>3</v>
      </c>
      <c r="O201" s="6">
        <v>171</v>
      </c>
      <c r="P201" s="2">
        <f>SUM(kip[[#This Row],[Orders_Delivered_OnTime]]/kip[[#This Row],[Orders_Placed]]*100)</f>
        <v>88.888888888888886</v>
      </c>
    </row>
    <row r="202" spans="1:16" x14ac:dyDescent="0.3">
      <c r="A202" s="3" t="s">
        <v>237</v>
      </c>
      <c r="B202" s="1" t="s">
        <v>238</v>
      </c>
      <c r="C202" s="1" t="s">
        <v>17</v>
      </c>
      <c r="D202" s="1" t="s">
        <v>18</v>
      </c>
      <c r="E202" s="1" t="s">
        <v>19</v>
      </c>
      <c r="F202" s="1">
        <v>120</v>
      </c>
      <c r="G202" s="1">
        <v>112</v>
      </c>
      <c r="H202" s="1">
        <v>8</v>
      </c>
      <c r="I202" s="1">
        <v>727</v>
      </c>
      <c r="J202" s="1">
        <v>201</v>
      </c>
      <c r="K202" s="1">
        <v>4</v>
      </c>
      <c r="L202" s="1">
        <v>204098</v>
      </c>
      <c r="M202" s="1">
        <v>199198</v>
      </c>
      <c r="N202" s="1">
        <v>3</v>
      </c>
      <c r="O202" s="5">
        <v>120</v>
      </c>
      <c r="P202" s="2">
        <f>SUM(kip[[#This Row],[Orders_Delivered_OnTime]]/kip[[#This Row],[Orders_Placed]]*100)</f>
        <v>93.333333333333329</v>
      </c>
    </row>
    <row r="203" spans="1:16" x14ac:dyDescent="0.3">
      <c r="A203" s="4" t="s">
        <v>239</v>
      </c>
      <c r="B203" s="2" t="s">
        <v>238</v>
      </c>
      <c r="C203" s="2" t="s">
        <v>17</v>
      </c>
      <c r="D203" s="2" t="s">
        <v>21</v>
      </c>
      <c r="E203" s="2" t="s">
        <v>29</v>
      </c>
      <c r="F203" s="2">
        <v>125</v>
      </c>
      <c r="G203" s="2">
        <v>114</v>
      </c>
      <c r="H203" s="2">
        <v>11</v>
      </c>
      <c r="I203" s="2">
        <v>248</v>
      </c>
      <c r="J203" s="2">
        <v>267</v>
      </c>
      <c r="K203" s="2">
        <v>2</v>
      </c>
      <c r="L203" s="2">
        <v>151622</v>
      </c>
      <c r="M203" s="2">
        <v>142121</v>
      </c>
      <c r="N203" s="2">
        <v>5</v>
      </c>
      <c r="O203" s="6">
        <v>125</v>
      </c>
      <c r="P203" s="2">
        <f>SUM(kip[[#This Row],[Orders_Delivered_OnTime]]/kip[[#This Row],[Orders_Placed]]*100)</f>
        <v>91.2</v>
      </c>
    </row>
    <row r="204" spans="1:16" x14ac:dyDescent="0.3">
      <c r="A204" s="3" t="s">
        <v>240</v>
      </c>
      <c r="B204" s="1" t="s">
        <v>238</v>
      </c>
      <c r="C204" s="1" t="s">
        <v>17</v>
      </c>
      <c r="D204" s="1" t="s">
        <v>23</v>
      </c>
      <c r="E204" s="1" t="s">
        <v>32</v>
      </c>
      <c r="F204" s="1">
        <v>193</v>
      </c>
      <c r="G204" s="1">
        <v>154</v>
      </c>
      <c r="H204" s="1">
        <v>39</v>
      </c>
      <c r="I204" s="1">
        <v>650</v>
      </c>
      <c r="J204" s="1">
        <v>198</v>
      </c>
      <c r="K204" s="1">
        <v>2</v>
      </c>
      <c r="L204" s="1">
        <v>128973</v>
      </c>
      <c r="M204" s="1">
        <v>135274</v>
      </c>
      <c r="N204" s="1">
        <v>15</v>
      </c>
      <c r="O204" s="5">
        <v>193</v>
      </c>
      <c r="P204" s="2">
        <f>SUM(kip[[#This Row],[Orders_Delivered_OnTime]]/kip[[#This Row],[Orders_Placed]]*100)</f>
        <v>79.792746113989637</v>
      </c>
    </row>
    <row r="205" spans="1:16" x14ac:dyDescent="0.3">
      <c r="A205" s="4" t="s">
        <v>241</v>
      </c>
      <c r="B205" s="2" t="s">
        <v>238</v>
      </c>
      <c r="C205" s="2" t="s">
        <v>17</v>
      </c>
      <c r="D205" s="2" t="s">
        <v>26</v>
      </c>
      <c r="E205" s="2" t="s">
        <v>29</v>
      </c>
      <c r="F205" s="2">
        <v>198</v>
      </c>
      <c r="G205" s="2">
        <v>178</v>
      </c>
      <c r="H205" s="2">
        <v>20</v>
      </c>
      <c r="I205" s="2">
        <v>473</v>
      </c>
      <c r="J205" s="2">
        <v>121</v>
      </c>
      <c r="K205" s="2">
        <v>5</v>
      </c>
      <c r="L205" s="2">
        <v>191280</v>
      </c>
      <c r="M205" s="2">
        <v>176681</v>
      </c>
      <c r="N205" s="2">
        <v>5</v>
      </c>
      <c r="O205" s="6">
        <v>198</v>
      </c>
      <c r="P205" s="2">
        <f>SUM(kip[[#This Row],[Orders_Delivered_OnTime]]/kip[[#This Row],[Orders_Placed]]*100)</f>
        <v>89.898989898989896</v>
      </c>
    </row>
    <row r="206" spans="1:16" x14ac:dyDescent="0.3">
      <c r="A206" s="3" t="s">
        <v>242</v>
      </c>
      <c r="B206" s="1" t="s">
        <v>238</v>
      </c>
      <c r="C206" s="1" t="s">
        <v>17</v>
      </c>
      <c r="D206" s="1" t="s">
        <v>28</v>
      </c>
      <c r="E206" s="1" t="s">
        <v>29</v>
      </c>
      <c r="F206" s="1">
        <v>121</v>
      </c>
      <c r="G206" s="1">
        <v>87</v>
      </c>
      <c r="H206" s="1">
        <v>34</v>
      </c>
      <c r="I206" s="1">
        <v>535</v>
      </c>
      <c r="J206" s="1">
        <v>269</v>
      </c>
      <c r="K206" s="1">
        <v>2</v>
      </c>
      <c r="L206" s="1">
        <v>160346</v>
      </c>
      <c r="M206" s="1">
        <v>165761</v>
      </c>
      <c r="N206" s="1">
        <v>6</v>
      </c>
      <c r="O206" s="5">
        <v>121</v>
      </c>
      <c r="P206" s="2">
        <f>SUM(kip[[#This Row],[Orders_Delivered_OnTime]]/kip[[#This Row],[Orders_Placed]]*100)</f>
        <v>71.900826446281002</v>
      </c>
    </row>
    <row r="207" spans="1:16" x14ac:dyDescent="0.3">
      <c r="A207" s="4" t="s">
        <v>243</v>
      </c>
      <c r="B207" s="2" t="s">
        <v>238</v>
      </c>
      <c r="C207" s="2" t="s">
        <v>31</v>
      </c>
      <c r="D207" s="2" t="s">
        <v>18</v>
      </c>
      <c r="E207" s="2" t="s">
        <v>24</v>
      </c>
      <c r="F207" s="2">
        <v>168</v>
      </c>
      <c r="G207" s="2">
        <v>136</v>
      </c>
      <c r="H207" s="2">
        <v>32</v>
      </c>
      <c r="I207" s="2">
        <v>657</v>
      </c>
      <c r="J207" s="2">
        <v>110</v>
      </c>
      <c r="K207" s="2">
        <v>5</v>
      </c>
      <c r="L207" s="2">
        <v>172421</v>
      </c>
      <c r="M207" s="2">
        <v>186982</v>
      </c>
      <c r="N207" s="2">
        <v>6</v>
      </c>
      <c r="O207" s="6">
        <v>168</v>
      </c>
      <c r="P207" s="2">
        <f>SUM(kip[[#This Row],[Orders_Delivered_OnTime]]/kip[[#This Row],[Orders_Placed]]*100)</f>
        <v>80.952380952380949</v>
      </c>
    </row>
    <row r="208" spans="1:16" x14ac:dyDescent="0.3">
      <c r="A208" s="3" t="s">
        <v>244</v>
      </c>
      <c r="B208" s="1" t="s">
        <v>238</v>
      </c>
      <c r="C208" s="1" t="s">
        <v>31</v>
      </c>
      <c r="D208" s="1" t="s">
        <v>21</v>
      </c>
      <c r="E208" s="1" t="s">
        <v>29</v>
      </c>
      <c r="F208" s="1">
        <v>161</v>
      </c>
      <c r="G208" s="1">
        <v>152</v>
      </c>
      <c r="H208" s="1">
        <v>9</v>
      </c>
      <c r="I208" s="1">
        <v>258</v>
      </c>
      <c r="J208" s="1">
        <v>119</v>
      </c>
      <c r="K208" s="1">
        <v>5</v>
      </c>
      <c r="L208" s="1">
        <v>247120</v>
      </c>
      <c r="M208" s="1">
        <v>252522</v>
      </c>
      <c r="N208" s="1">
        <v>8</v>
      </c>
      <c r="O208" s="5">
        <v>161</v>
      </c>
      <c r="P208" s="2">
        <f>SUM(kip[[#This Row],[Orders_Delivered_OnTime]]/kip[[#This Row],[Orders_Placed]]*100)</f>
        <v>94.409937888198755</v>
      </c>
    </row>
    <row r="209" spans="1:16" x14ac:dyDescent="0.3">
      <c r="A209" s="4" t="s">
        <v>245</v>
      </c>
      <c r="B209" s="2" t="s">
        <v>238</v>
      </c>
      <c r="C209" s="2" t="s">
        <v>31</v>
      </c>
      <c r="D209" s="2" t="s">
        <v>23</v>
      </c>
      <c r="E209" s="2" t="s">
        <v>24</v>
      </c>
      <c r="F209" s="2">
        <v>83</v>
      </c>
      <c r="G209" s="2">
        <v>61</v>
      </c>
      <c r="H209" s="2">
        <v>22</v>
      </c>
      <c r="I209" s="2">
        <v>648</v>
      </c>
      <c r="J209" s="2">
        <v>108</v>
      </c>
      <c r="K209" s="2">
        <v>1</v>
      </c>
      <c r="L209" s="2">
        <v>97624</v>
      </c>
      <c r="M209" s="2">
        <v>94773</v>
      </c>
      <c r="N209" s="2">
        <v>5</v>
      </c>
      <c r="O209" s="6">
        <v>83</v>
      </c>
      <c r="P209" s="2">
        <f>SUM(kip[[#This Row],[Orders_Delivered_OnTime]]/kip[[#This Row],[Orders_Placed]]*100)</f>
        <v>73.493975903614455</v>
      </c>
    </row>
    <row r="210" spans="1:16" x14ac:dyDescent="0.3">
      <c r="A210" s="3" t="s">
        <v>246</v>
      </c>
      <c r="B210" s="1" t="s">
        <v>238</v>
      </c>
      <c r="C210" s="1" t="s">
        <v>31</v>
      </c>
      <c r="D210" s="1" t="s">
        <v>26</v>
      </c>
      <c r="E210" s="1" t="s">
        <v>29</v>
      </c>
      <c r="F210" s="1">
        <v>126</v>
      </c>
      <c r="G210" s="1">
        <v>100</v>
      </c>
      <c r="H210" s="1">
        <v>26</v>
      </c>
      <c r="I210" s="1">
        <v>780</v>
      </c>
      <c r="J210" s="1">
        <v>108</v>
      </c>
      <c r="K210" s="1">
        <v>4</v>
      </c>
      <c r="L210" s="1">
        <v>120222</v>
      </c>
      <c r="M210" s="1">
        <v>132691</v>
      </c>
      <c r="N210" s="1">
        <v>5</v>
      </c>
      <c r="O210" s="5">
        <v>126</v>
      </c>
      <c r="P210" s="2">
        <f>SUM(kip[[#This Row],[Orders_Delivered_OnTime]]/kip[[#This Row],[Orders_Placed]]*100)</f>
        <v>79.365079365079367</v>
      </c>
    </row>
    <row r="211" spans="1:16" x14ac:dyDescent="0.3">
      <c r="A211" s="4" t="s">
        <v>247</v>
      </c>
      <c r="B211" s="2" t="s">
        <v>238</v>
      </c>
      <c r="C211" s="2" t="s">
        <v>31</v>
      </c>
      <c r="D211" s="2" t="s">
        <v>28</v>
      </c>
      <c r="E211" s="2" t="s">
        <v>29</v>
      </c>
      <c r="F211" s="2">
        <v>136</v>
      </c>
      <c r="G211" s="2">
        <v>121</v>
      </c>
      <c r="H211" s="2">
        <v>15</v>
      </c>
      <c r="I211" s="2">
        <v>787</v>
      </c>
      <c r="J211" s="2">
        <v>135</v>
      </c>
      <c r="K211" s="2">
        <v>4</v>
      </c>
      <c r="L211" s="2">
        <v>176193</v>
      </c>
      <c r="M211" s="2">
        <v>179612</v>
      </c>
      <c r="N211" s="2">
        <v>10</v>
      </c>
      <c r="O211" s="6">
        <v>136</v>
      </c>
      <c r="P211" s="2">
        <f>SUM(kip[[#This Row],[Orders_Delivered_OnTime]]/kip[[#This Row],[Orders_Placed]]*100)</f>
        <v>88.970588235294116</v>
      </c>
    </row>
    <row r="212" spans="1:16" x14ac:dyDescent="0.3">
      <c r="A212" s="3" t="s">
        <v>248</v>
      </c>
      <c r="B212" s="1" t="s">
        <v>238</v>
      </c>
      <c r="C212" s="1" t="s">
        <v>38</v>
      </c>
      <c r="D212" s="1" t="s">
        <v>18</v>
      </c>
      <c r="E212" s="1" t="s">
        <v>29</v>
      </c>
      <c r="F212" s="1">
        <v>111</v>
      </c>
      <c r="G212" s="1">
        <v>104</v>
      </c>
      <c r="H212" s="1">
        <v>7</v>
      </c>
      <c r="I212" s="1">
        <v>226</v>
      </c>
      <c r="J212" s="1">
        <v>288</v>
      </c>
      <c r="K212" s="1">
        <v>1</v>
      </c>
      <c r="L212" s="1">
        <v>210821</v>
      </c>
      <c r="M212" s="1">
        <v>222484</v>
      </c>
      <c r="N212" s="1">
        <v>8</v>
      </c>
      <c r="O212" s="5">
        <v>111</v>
      </c>
      <c r="P212" s="2">
        <f>SUM(kip[[#This Row],[Orders_Delivered_OnTime]]/kip[[#This Row],[Orders_Placed]]*100)</f>
        <v>93.693693693693689</v>
      </c>
    </row>
    <row r="213" spans="1:16" x14ac:dyDescent="0.3">
      <c r="A213" s="4" t="s">
        <v>249</v>
      </c>
      <c r="B213" s="2" t="s">
        <v>238</v>
      </c>
      <c r="C213" s="2" t="s">
        <v>38</v>
      </c>
      <c r="D213" s="2" t="s">
        <v>21</v>
      </c>
      <c r="E213" s="2" t="s">
        <v>19</v>
      </c>
      <c r="F213" s="2">
        <v>113</v>
      </c>
      <c r="G213" s="2">
        <v>100</v>
      </c>
      <c r="H213" s="2">
        <v>13</v>
      </c>
      <c r="I213" s="2">
        <v>656</v>
      </c>
      <c r="J213" s="2">
        <v>154</v>
      </c>
      <c r="K213" s="2">
        <v>4</v>
      </c>
      <c r="L213" s="2">
        <v>154862</v>
      </c>
      <c r="M213" s="2">
        <v>171617</v>
      </c>
      <c r="N213" s="2">
        <v>7</v>
      </c>
      <c r="O213" s="6">
        <v>113</v>
      </c>
      <c r="P213" s="2">
        <f>SUM(kip[[#This Row],[Orders_Delivered_OnTime]]/kip[[#This Row],[Orders_Placed]]*100)</f>
        <v>88.495575221238937</v>
      </c>
    </row>
    <row r="214" spans="1:16" x14ac:dyDescent="0.3">
      <c r="A214" s="3" t="s">
        <v>250</v>
      </c>
      <c r="B214" s="1" t="s">
        <v>238</v>
      </c>
      <c r="C214" s="1" t="s">
        <v>38</v>
      </c>
      <c r="D214" s="1" t="s">
        <v>23</v>
      </c>
      <c r="E214" s="1" t="s">
        <v>24</v>
      </c>
      <c r="F214" s="1">
        <v>95</v>
      </c>
      <c r="G214" s="1">
        <v>69</v>
      </c>
      <c r="H214" s="1">
        <v>26</v>
      </c>
      <c r="I214" s="1">
        <v>275</v>
      </c>
      <c r="J214" s="1">
        <v>215</v>
      </c>
      <c r="K214" s="1">
        <v>1</v>
      </c>
      <c r="L214" s="1">
        <v>196683</v>
      </c>
      <c r="M214" s="1">
        <v>235858</v>
      </c>
      <c r="N214" s="1">
        <v>5</v>
      </c>
      <c r="O214" s="5">
        <v>95</v>
      </c>
      <c r="P214" s="2">
        <f>SUM(kip[[#This Row],[Orders_Delivered_OnTime]]/kip[[#This Row],[Orders_Placed]]*100)</f>
        <v>72.631578947368425</v>
      </c>
    </row>
    <row r="215" spans="1:16" x14ac:dyDescent="0.3">
      <c r="A215" s="4" t="s">
        <v>251</v>
      </c>
      <c r="B215" s="2" t="s">
        <v>238</v>
      </c>
      <c r="C215" s="2" t="s">
        <v>38</v>
      </c>
      <c r="D215" s="2" t="s">
        <v>26</v>
      </c>
      <c r="E215" s="2" t="s">
        <v>29</v>
      </c>
      <c r="F215" s="2">
        <v>170</v>
      </c>
      <c r="G215" s="2">
        <v>121</v>
      </c>
      <c r="H215" s="2">
        <v>49</v>
      </c>
      <c r="I215" s="2">
        <v>755</v>
      </c>
      <c r="J215" s="2">
        <v>174</v>
      </c>
      <c r="K215" s="2">
        <v>2</v>
      </c>
      <c r="L215" s="2">
        <v>121289</v>
      </c>
      <c r="M215" s="2">
        <v>135060</v>
      </c>
      <c r="N215" s="2">
        <v>11</v>
      </c>
      <c r="O215" s="6">
        <v>170</v>
      </c>
      <c r="P215" s="2">
        <f>SUM(kip[[#This Row],[Orders_Delivered_OnTime]]/kip[[#This Row],[Orders_Placed]]*100)</f>
        <v>71.17647058823529</v>
      </c>
    </row>
    <row r="216" spans="1:16" x14ac:dyDescent="0.3">
      <c r="A216" s="3" t="s">
        <v>252</v>
      </c>
      <c r="B216" s="1" t="s">
        <v>238</v>
      </c>
      <c r="C216" s="1" t="s">
        <v>38</v>
      </c>
      <c r="D216" s="1" t="s">
        <v>28</v>
      </c>
      <c r="E216" s="1" t="s">
        <v>24</v>
      </c>
      <c r="F216" s="1">
        <v>181</v>
      </c>
      <c r="G216" s="1">
        <v>143</v>
      </c>
      <c r="H216" s="1">
        <v>38</v>
      </c>
      <c r="I216" s="1">
        <v>429</v>
      </c>
      <c r="J216" s="1">
        <v>131</v>
      </c>
      <c r="K216" s="1">
        <v>1</v>
      </c>
      <c r="L216" s="1">
        <v>116405</v>
      </c>
      <c r="M216" s="1">
        <v>113031</v>
      </c>
      <c r="N216" s="1">
        <v>7</v>
      </c>
      <c r="O216" s="5">
        <v>181</v>
      </c>
      <c r="P216" s="2">
        <f>SUM(kip[[#This Row],[Orders_Delivered_OnTime]]/kip[[#This Row],[Orders_Placed]]*100)</f>
        <v>79.005524861878456</v>
      </c>
    </row>
    <row r="217" spans="1:16" x14ac:dyDescent="0.3">
      <c r="A217" s="4" t="s">
        <v>253</v>
      </c>
      <c r="B217" s="2" t="s">
        <v>238</v>
      </c>
      <c r="C217" s="2" t="s">
        <v>44</v>
      </c>
      <c r="D217" s="2" t="s">
        <v>18</v>
      </c>
      <c r="E217" s="2" t="s">
        <v>19</v>
      </c>
      <c r="F217" s="2">
        <v>126</v>
      </c>
      <c r="G217" s="2">
        <v>105</v>
      </c>
      <c r="H217" s="2">
        <v>21</v>
      </c>
      <c r="I217" s="2">
        <v>577</v>
      </c>
      <c r="J217" s="2">
        <v>219</v>
      </c>
      <c r="K217" s="2">
        <v>4</v>
      </c>
      <c r="L217" s="2">
        <v>114018</v>
      </c>
      <c r="M217" s="2">
        <v>123548</v>
      </c>
      <c r="N217" s="2">
        <v>1</v>
      </c>
      <c r="O217" s="6">
        <v>126</v>
      </c>
      <c r="P217" s="2">
        <f>SUM(kip[[#This Row],[Orders_Delivered_OnTime]]/kip[[#This Row],[Orders_Placed]]*100)</f>
        <v>83.333333333333343</v>
      </c>
    </row>
    <row r="218" spans="1:16" x14ac:dyDescent="0.3">
      <c r="A218" s="3" t="s">
        <v>254</v>
      </c>
      <c r="B218" s="1" t="s">
        <v>238</v>
      </c>
      <c r="C218" s="1" t="s">
        <v>44</v>
      </c>
      <c r="D218" s="1" t="s">
        <v>21</v>
      </c>
      <c r="E218" s="1" t="s">
        <v>19</v>
      </c>
      <c r="F218" s="1">
        <v>119</v>
      </c>
      <c r="G218" s="1">
        <v>95</v>
      </c>
      <c r="H218" s="1">
        <v>24</v>
      </c>
      <c r="I218" s="1">
        <v>690</v>
      </c>
      <c r="J218" s="1">
        <v>234</v>
      </c>
      <c r="K218" s="1">
        <v>3</v>
      </c>
      <c r="L218" s="1">
        <v>187330</v>
      </c>
      <c r="M218" s="1">
        <v>214867</v>
      </c>
      <c r="N218" s="1">
        <v>1</v>
      </c>
      <c r="O218" s="5">
        <v>119</v>
      </c>
      <c r="P218" s="2">
        <f>SUM(kip[[#This Row],[Orders_Delivered_OnTime]]/kip[[#This Row],[Orders_Placed]]*100)</f>
        <v>79.831932773109244</v>
      </c>
    </row>
    <row r="219" spans="1:16" x14ac:dyDescent="0.3">
      <c r="A219" s="4" t="s">
        <v>255</v>
      </c>
      <c r="B219" s="2" t="s">
        <v>238</v>
      </c>
      <c r="C219" s="2" t="s">
        <v>44</v>
      </c>
      <c r="D219" s="2" t="s">
        <v>23</v>
      </c>
      <c r="E219" s="2" t="s">
        <v>24</v>
      </c>
      <c r="F219" s="2">
        <v>120</v>
      </c>
      <c r="G219" s="2">
        <v>103</v>
      </c>
      <c r="H219" s="2">
        <v>17</v>
      </c>
      <c r="I219" s="2">
        <v>660</v>
      </c>
      <c r="J219" s="2">
        <v>219</v>
      </c>
      <c r="K219" s="2">
        <v>5</v>
      </c>
      <c r="L219" s="2">
        <v>215622</v>
      </c>
      <c r="M219" s="2">
        <v>216345</v>
      </c>
      <c r="N219" s="2">
        <v>8</v>
      </c>
      <c r="O219" s="6">
        <v>120</v>
      </c>
      <c r="P219" s="2">
        <f>SUM(kip[[#This Row],[Orders_Delivered_OnTime]]/kip[[#This Row],[Orders_Placed]]*100)</f>
        <v>85.833333333333329</v>
      </c>
    </row>
    <row r="220" spans="1:16" x14ac:dyDescent="0.3">
      <c r="A220" s="3" t="s">
        <v>256</v>
      </c>
      <c r="B220" s="1" t="s">
        <v>238</v>
      </c>
      <c r="C220" s="1" t="s">
        <v>44</v>
      </c>
      <c r="D220" s="1" t="s">
        <v>26</v>
      </c>
      <c r="E220" s="1" t="s">
        <v>24</v>
      </c>
      <c r="F220" s="1">
        <v>178</v>
      </c>
      <c r="G220" s="1">
        <v>167</v>
      </c>
      <c r="H220" s="1">
        <v>11</v>
      </c>
      <c r="I220" s="1">
        <v>643</v>
      </c>
      <c r="J220" s="1">
        <v>228</v>
      </c>
      <c r="K220" s="1">
        <v>0</v>
      </c>
      <c r="L220" s="1">
        <v>112548</v>
      </c>
      <c r="M220" s="1">
        <v>118786</v>
      </c>
      <c r="N220" s="1">
        <v>4</v>
      </c>
      <c r="O220" s="5">
        <v>178</v>
      </c>
      <c r="P220" s="2">
        <f>SUM(kip[[#This Row],[Orders_Delivered_OnTime]]/kip[[#This Row],[Orders_Placed]]*100)</f>
        <v>93.82022471910112</v>
      </c>
    </row>
    <row r="221" spans="1:16" x14ac:dyDescent="0.3">
      <c r="A221" s="4" t="s">
        <v>257</v>
      </c>
      <c r="B221" s="2" t="s">
        <v>238</v>
      </c>
      <c r="C221" s="2" t="s">
        <v>44</v>
      </c>
      <c r="D221" s="2" t="s">
        <v>28</v>
      </c>
      <c r="E221" s="2" t="s">
        <v>24</v>
      </c>
      <c r="F221" s="2">
        <v>100</v>
      </c>
      <c r="G221" s="2">
        <v>78</v>
      </c>
      <c r="H221" s="2">
        <v>22</v>
      </c>
      <c r="I221" s="2">
        <v>430</v>
      </c>
      <c r="J221" s="2">
        <v>188</v>
      </c>
      <c r="K221" s="2">
        <v>4</v>
      </c>
      <c r="L221" s="2">
        <v>154461</v>
      </c>
      <c r="M221" s="2">
        <v>178214</v>
      </c>
      <c r="N221" s="2">
        <v>4</v>
      </c>
      <c r="O221" s="6">
        <v>100</v>
      </c>
      <c r="P221" s="2">
        <f>SUM(kip[[#This Row],[Orders_Delivered_OnTime]]/kip[[#This Row],[Orders_Placed]]*100)</f>
        <v>78</v>
      </c>
    </row>
    <row r="222" spans="1:16" x14ac:dyDescent="0.3">
      <c r="A222" s="3" t="s">
        <v>258</v>
      </c>
      <c r="B222" s="1" t="s">
        <v>238</v>
      </c>
      <c r="C222" s="1" t="s">
        <v>50</v>
      </c>
      <c r="D222" s="1" t="s">
        <v>18</v>
      </c>
      <c r="E222" s="1" t="s">
        <v>24</v>
      </c>
      <c r="F222" s="1">
        <v>161</v>
      </c>
      <c r="G222" s="1">
        <v>151</v>
      </c>
      <c r="H222" s="1">
        <v>10</v>
      </c>
      <c r="I222" s="1">
        <v>481</v>
      </c>
      <c r="J222" s="1">
        <v>132</v>
      </c>
      <c r="K222" s="1">
        <v>5</v>
      </c>
      <c r="L222" s="1">
        <v>159383</v>
      </c>
      <c r="M222" s="1">
        <v>172823</v>
      </c>
      <c r="N222" s="1">
        <v>1</v>
      </c>
      <c r="O222" s="5">
        <v>161</v>
      </c>
      <c r="P222" s="2">
        <f>SUM(kip[[#This Row],[Orders_Delivered_OnTime]]/kip[[#This Row],[Orders_Placed]]*100)</f>
        <v>93.788819875776397</v>
      </c>
    </row>
    <row r="223" spans="1:16" x14ac:dyDescent="0.3">
      <c r="A223" s="4" t="s">
        <v>259</v>
      </c>
      <c r="B223" s="2" t="s">
        <v>238</v>
      </c>
      <c r="C223" s="2" t="s">
        <v>50</v>
      </c>
      <c r="D223" s="2" t="s">
        <v>21</v>
      </c>
      <c r="E223" s="2" t="s">
        <v>24</v>
      </c>
      <c r="F223" s="2">
        <v>155</v>
      </c>
      <c r="G223" s="2">
        <v>144</v>
      </c>
      <c r="H223" s="2">
        <v>11</v>
      </c>
      <c r="I223" s="2">
        <v>357</v>
      </c>
      <c r="J223" s="2">
        <v>143</v>
      </c>
      <c r="K223" s="2">
        <v>5</v>
      </c>
      <c r="L223" s="2">
        <v>243703</v>
      </c>
      <c r="M223" s="2">
        <v>272018</v>
      </c>
      <c r="N223" s="2">
        <v>9</v>
      </c>
      <c r="O223" s="6">
        <v>155</v>
      </c>
      <c r="P223" s="2">
        <f>SUM(kip[[#This Row],[Orders_Delivered_OnTime]]/kip[[#This Row],[Orders_Placed]]*100)</f>
        <v>92.903225806451616</v>
      </c>
    </row>
    <row r="224" spans="1:16" x14ac:dyDescent="0.3">
      <c r="A224" s="3" t="s">
        <v>260</v>
      </c>
      <c r="B224" s="1" t="s">
        <v>238</v>
      </c>
      <c r="C224" s="1" t="s">
        <v>50</v>
      </c>
      <c r="D224" s="1" t="s">
        <v>23</v>
      </c>
      <c r="E224" s="1" t="s">
        <v>29</v>
      </c>
      <c r="F224" s="1">
        <v>187</v>
      </c>
      <c r="G224" s="1">
        <v>174</v>
      </c>
      <c r="H224" s="1">
        <v>13</v>
      </c>
      <c r="I224" s="1">
        <v>242</v>
      </c>
      <c r="J224" s="1">
        <v>107</v>
      </c>
      <c r="K224" s="1">
        <v>0</v>
      </c>
      <c r="L224" s="1">
        <v>91917</v>
      </c>
      <c r="M224" s="1">
        <v>108881</v>
      </c>
      <c r="N224" s="1">
        <v>12</v>
      </c>
      <c r="O224" s="5">
        <v>187</v>
      </c>
      <c r="P224" s="2">
        <f>SUM(kip[[#This Row],[Orders_Delivered_OnTime]]/kip[[#This Row],[Orders_Placed]]*100)</f>
        <v>93.048128342245988</v>
      </c>
    </row>
    <row r="225" spans="1:16" x14ac:dyDescent="0.3">
      <c r="A225" s="4" t="s">
        <v>261</v>
      </c>
      <c r="B225" s="2" t="s">
        <v>238</v>
      </c>
      <c r="C225" s="2" t="s">
        <v>50</v>
      </c>
      <c r="D225" s="2" t="s">
        <v>26</v>
      </c>
      <c r="E225" s="2" t="s">
        <v>29</v>
      </c>
      <c r="F225" s="2">
        <v>163</v>
      </c>
      <c r="G225" s="2">
        <v>122</v>
      </c>
      <c r="H225" s="2">
        <v>41</v>
      </c>
      <c r="I225" s="2">
        <v>785</v>
      </c>
      <c r="J225" s="2">
        <v>206</v>
      </c>
      <c r="K225" s="2">
        <v>4</v>
      </c>
      <c r="L225" s="2">
        <v>247507</v>
      </c>
      <c r="M225" s="2">
        <v>225005</v>
      </c>
      <c r="N225" s="2">
        <v>10</v>
      </c>
      <c r="O225" s="6">
        <v>163</v>
      </c>
      <c r="P225" s="2">
        <f>SUM(kip[[#This Row],[Orders_Delivered_OnTime]]/kip[[#This Row],[Orders_Placed]]*100)</f>
        <v>74.846625766871171</v>
      </c>
    </row>
    <row r="226" spans="1:16" x14ac:dyDescent="0.3">
      <c r="A226" s="3" t="s">
        <v>262</v>
      </c>
      <c r="B226" s="1" t="s">
        <v>238</v>
      </c>
      <c r="C226" s="1" t="s">
        <v>50</v>
      </c>
      <c r="D226" s="1" t="s">
        <v>28</v>
      </c>
      <c r="E226" s="1" t="s">
        <v>29</v>
      </c>
      <c r="F226" s="1">
        <v>162</v>
      </c>
      <c r="G226" s="1">
        <v>152</v>
      </c>
      <c r="H226" s="1">
        <v>10</v>
      </c>
      <c r="I226" s="1">
        <v>694</v>
      </c>
      <c r="J226" s="1">
        <v>162</v>
      </c>
      <c r="K226" s="1">
        <v>5</v>
      </c>
      <c r="L226" s="1">
        <v>186454</v>
      </c>
      <c r="M226" s="1">
        <v>184445</v>
      </c>
      <c r="N226" s="1">
        <v>1</v>
      </c>
      <c r="O226" s="5">
        <v>162</v>
      </c>
      <c r="P226" s="2">
        <f>SUM(kip[[#This Row],[Orders_Delivered_OnTime]]/kip[[#This Row],[Orders_Placed]]*100)</f>
        <v>93.827160493827151</v>
      </c>
    </row>
    <row r="227" spans="1:16" x14ac:dyDescent="0.3">
      <c r="A227" s="4" t="s">
        <v>263</v>
      </c>
      <c r="B227" s="2" t="s">
        <v>264</v>
      </c>
      <c r="C227" s="2" t="s">
        <v>17</v>
      </c>
      <c r="D227" s="2" t="s">
        <v>18</v>
      </c>
      <c r="E227" s="2" t="s">
        <v>19</v>
      </c>
      <c r="F227" s="2">
        <v>100</v>
      </c>
      <c r="G227" s="2">
        <v>80</v>
      </c>
      <c r="H227" s="2">
        <v>20</v>
      </c>
      <c r="I227" s="2">
        <v>695</v>
      </c>
      <c r="J227" s="2">
        <v>218</v>
      </c>
      <c r="K227" s="2">
        <v>1</v>
      </c>
      <c r="L227" s="2">
        <v>169179</v>
      </c>
      <c r="M227" s="2">
        <v>183051</v>
      </c>
      <c r="N227" s="2">
        <v>5</v>
      </c>
      <c r="O227" s="6">
        <v>100</v>
      </c>
      <c r="P227" s="2">
        <f>SUM(kip[[#This Row],[Orders_Delivered_OnTime]]/kip[[#This Row],[Orders_Placed]]*100)</f>
        <v>80</v>
      </c>
    </row>
    <row r="228" spans="1:16" x14ac:dyDescent="0.3">
      <c r="A228" s="3" t="s">
        <v>265</v>
      </c>
      <c r="B228" s="1" t="s">
        <v>264</v>
      </c>
      <c r="C228" s="1" t="s">
        <v>17</v>
      </c>
      <c r="D228" s="1" t="s">
        <v>21</v>
      </c>
      <c r="E228" s="1" t="s">
        <v>29</v>
      </c>
      <c r="F228" s="1">
        <v>173</v>
      </c>
      <c r="G228" s="1">
        <v>163</v>
      </c>
      <c r="H228" s="1">
        <v>10</v>
      </c>
      <c r="I228" s="1">
        <v>553</v>
      </c>
      <c r="J228" s="1">
        <v>202</v>
      </c>
      <c r="K228" s="1">
        <v>1</v>
      </c>
      <c r="L228" s="1">
        <v>177134</v>
      </c>
      <c r="M228" s="1">
        <v>186786</v>
      </c>
      <c r="N228" s="1">
        <v>1</v>
      </c>
      <c r="O228" s="5">
        <v>173</v>
      </c>
      <c r="P228" s="2">
        <f>SUM(kip[[#This Row],[Orders_Delivered_OnTime]]/kip[[#This Row],[Orders_Placed]]*100)</f>
        <v>94.219653179190757</v>
      </c>
    </row>
    <row r="229" spans="1:16" x14ac:dyDescent="0.3">
      <c r="A229" s="4" t="s">
        <v>266</v>
      </c>
      <c r="B229" s="2" t="s">
        <v>264</v>
      </c>
      <c r="C229" s="2" t="s">
        <v>17</v>
      </c>
      <c r="D229" s="2" t="s">
        <v>23</v>
      </c>
      <c r="E229" s="2" t="s">
        <v>29</v>
      </c>
      <c r="F229" s="2">
        <v>110</v>
      </c>
      <c r="G229" s="2">
        <v>89</v>
      </c>
      <c r="H229" s="2">
        <v>21</v>
      </c>
      <c r="I229" s="2">
        <v>473</v>
      </c>
      <c r="J229" s="2">
        <v>215</v>
      </c>
      <c r="K229" s="2">
        <v>1</v>
      </c>
      <c r="L229" s="2">
        <v>116930</v>
      </c>
      <c r="M229" s="2">
        <v>108633</v>
      </c>
      <c r="N229" s="2">
        <v>4</v>
      </c>
      <c r="O229" s="6">
        <v>110</v>
      </c>
      <c r="P229" s="2">
        <f>SUM(kip[[#This Row],[Orders_Delivered_OnTime]]/kip[[#This Row],[Orders_Placed]]*100)</f>
        <v>80.909090909090907</v>
      </c>
    </row>
    <row r="230" spans="1:16" x14ac:dyDescent="0.3">
      <c r="A230" s="3" t="s">
        <v>267</v>
      </c>
      <c r="B230" s="1" t="s">
        <v>264</v>
      </c>
      <c r="C230" s="1" t="s">
        <v>17</v>
      </c>
      <c r="D230" s="1" t="s">
        <v>26</v>
      </c>
      <c r="E230" s="1" t="s">
        <v>32</v>
      </c>
      <c r="F230" s="1">
        <v>190</v>
      </c>
      <c r="G230" s="1">
        <v>162</v>
      </c>
      <c r="H230" s="1">
        <v>28</v>
      </c>
      <c r="I230" s="1">
        <v>454</v>
      </c>
      <c r="J230" s="1">
        <v>140</v>
      </c>
      <c r="K230" s="1">
        <v>2</v>
      </c>
      <c r="L230" s="1">
        <v>231437</v>
      </c>
      <c r="M230" s="1">
        <v>258362</v>
      </c>
      <c r="N230" s="1">
        <v>6</v>
      </c>
      <c r="O230" s="5">
        <v>190</v>
      </c>
      <c r="P230" s="2">
        <f>SUM(kip[[#This Row],[Orders_Delivered_OnTime]]/kip[[#This Row],[Orders_Placed]]*100)</f>
        <v>85.263157894736835</v>
      </c>
    </row>
    <row r="231" spans="1:16" x14ac:dyDescent="0.3">
      <c r="A231" s="4" t="s">
        <v>268</v>
      </c>
      <c r="B231" s="2" t="s">
        <v>264</v>
      </c>
      <c r="C231" s="2" t="s">
        <v>17</v>
      </c>
      <c r="D231" s="2" t="s">
        <v>28</v>
      </c>
      <c r="E231" s="2" t="s">
        <v>24</v>
      </c>
      <c r="F231" s="2">
        <v>143</v>
      </c>
      <c r="G231" s="2">
        <v>135</v>
      </c>
      <c r="H231" s="2">
        <v>8</v>
      </c>
      <c r="I231" s="2">
        <v>678</v>
      </c>
      <c r="J231" s="2">
        <v>227</v>
      </c>
      <c r="K231" s="2">
        <v>2</v>
      </c>
      <c r="L231" s="2">
        <v>210382</v>
      </c>
      <c r="M231" s="2">
        <v>190806</v>
      </c>
      <c r="N231" s="2">
        <v>6</v>
      </c>
      <c r="O231" s="6">
        <v>143</v>
      </c>
      <c r="P231" s="2">
        <f>SUM(kip[[#This Row],[Orders_Delivered_OnTime]]/kip[[#This Row],[Orders_Placed]]*100)</f>
        <v>94.4055944055944</v>
      </c>
    </row>
    <row r="232" spans="1:16" x14ac:dyDescent="0.3">
      <c r="A232" s="3" t="s">
        <v>269</v>
      </c>
      <c r="B232" s="1" t="s">
        <v>264</v>
      </c>
      <c r="C232" s="1" t="s">
        <v>31</v>
      </c>
      <c r="D232" s="1" t="s">
        <v>18</v>
      </c>
      <c r="E232" s="1" t="s">
        <v>32</v>
      </c>
      <c r="F232" s="1">
        <v>110</v>
      </c>
      <c r="G232" s="1">
        <v>82</v>
      </c>
      <c r="H232" s="1">
        <v>28</v>
      </c>
      <c r="I232" s="1">
        <v>561</v>
      </c>
      <c r="J232" s="1">
        <v>112</v>
      </c>
      <c r="K232" s="1">
        <v>0</v>
      </c>
      <c r="L232" s="1">
        <v>153755</v>
      </c>
      <c r="M232" s="1">
        <v>161207</v>
      </c>
      <c r="N232" s="1">
        <v>7</v>
      </c>
      <c r="O232" s="5">
        <v>110</v>
      </c>
      <c r="P232" s="2">
        <f>SUM(kip[[#This Row],[Orders_Delivered_OnTime]]/kip[[#This Row],[Orders_Placed]]*100)</f>
        <v>74.545454545454547</v>
      </c>
    </row>
    <row r="233" spans="1:16" x14ac:dyDescent="0.3">
      <c r="A233" s="4" t="s">
        <v>270</v>
      </c>
      <c r="B233" s="2" t="s">
        <v>264</v>
      </c>
      <c r="C233" s="2" t="s">
        <v>31</v>
      </c>
      <c r="D233" s="2" t="s">
        <v>21</v>
      </c>
      <c r="E233" s="2" t="s">
        <v>29</v>
      </c>
      <c r="F233" s="2">
        <v>148</v>
      </c>
      <c r="G233" s="2">
        <v>103</v>
      </c>
      <c r="H233" s="2">
        <v>45</v>
      </c>
      <c r="I233" s="2">
        <v>310</v>
      </c>
      <c r="J233" s="2">
        <v>210</v>
      </c>
      <c r="K233" s="2">
        <v>1</v>
      </c>
      <c r="L233" s="2">
        <v>149329</v>
      </c>
      <c r="M233" s="2">
        <v>166987</v>
      </c>
      <c r="N233" s="2">
        <v>6</v>
      </c>
      <c r="O233" s="6">
        <v>148</v>
      </c>
      <c r="P233" s="2">
        <f>SUM(kip[[#This Row],[Orders_Delivered_OnTime]]/kip[[#This Row],[Orders_Placed]]*100)</f>
        <v>69.594594594594597</v>
      </c>
    </row>
    <row r="234" spans="1:16" x14ac:dyDescent="0.3">
      <c r="A234" s="3" t="s">
        <v>271</v>
      </c>
      <c r="B234" s="1" t="s">
        <v>264</v>
      </c>
      <c r="C234" s="1" t="s">
        <v>31</v>
      </c>
      <c r="D234" s="1" t="s">
        <v>23</v>
      </c>
      <c r="E234" s="1" t="s">
        <v>29</v>
      </c>
      <c r="F234" s="1">
        <v>85</v>
      </c>
      <c r="G234" s="1">
        <v>68</v>
      </c>
      <c r="H234" s="1">
        <v>17</v>
      </c>
      <c r="I234" s="1">
        <v>783</v>
      </c>
      <c r="J234" s="1">
        <v>243</v>
      </c>
      <c r="K234" s="1">
        <v>1</v>
      </c>
      <c r="L234" s="1">
        <v>175033</v>
      </c>
      <c r="M234" s="1">
        <v>186579</v>
      </c>
      <c r="N234" s="1">
        <v>0</v>
      </c>
      <c r="O234" s="5">
        <v>85</v>
      </c>
      <c r="P234" s="2">
        <f>SUM(kip[[#This Row],[Orders_Delivered_OnTime]]/kip[[#This Row],[Orders_Placed]]*100)</f>
        <v>80</v>
      </c>
    </row>
    <row r="235" spans="1:16" x14ac:dyDescent="0.3">
      <c r="A235" s="4" t="s">
        <v>272</v>
      </c>
      <c r="B235" s="2" t="s">
        <v>264</v>
      </c>
      <c r="C235" s="2" t="s">
        <v>31</v>
      </c>
      <c r="D235" s="2" t="s">
        <v>26</v>
      </c>
      <c r="E235" s="2" t="s">
        <v>32</v>
      </c>
      <c r="F235" s="2">
        <v>144</v>
      </c>
      <c r="G235" s="2">
        <v>117</v>
      </c>
      <c r="H235" s="2">
        <v>27</v>
      </c>
      <c r="I235" s="2">
        <v>763</v>
      </c>
      <c r="J235" s="2">
        <v>171</v>
      </c>
      <c r="K235" s="2">
        <v>4</v>
      </c>
      <c r="L235" s="2">
        <v>240181</v>
      </c>
      <c r="M235" s="2">
        <v>224723</v>
      </c>
      <c r="N235" s="2">
        <v>1</v>
      </c>
      <c r="O235" s="6">
        <v>144</v>
      </c>
      <c r="P235" s="2">
        <f>SUM(kip[[#This Row],[Orders_Delivered_OnTime]]/kip[[#This Row],[Orders_Placed]]*100)</f>
        <v>81.25</v>
      </c>
    </row>
    <row r="236" spans="1:16" x14ac:dyDescent="0.3">
      <c r="A236" s="3" t="s">
        <v>273</v>
      </c>
      <c r="B236" s="1" t="s">
        <v>264</v>
      </c>
      <c r="C236" s="1" t="s">
        <v>31</v>
      </c>
      <c r="D236" s="1" t="s">
        <v>28</v>
      </c>
      <c r="E236" s="1" t="s">
        <v>32</v>
      </c>
      <c r="F236" s="1">
        <v>127</v>
      </c>
      <c r="G236" s="1">
        <v>114</v>
      </c>
      <c r="H236" s="1">
        <v>13</v>
      </c>
      <c r="I236" s="1">
        <v>547</v>
      </c>
      <c r="J236" s="1">
        <v>242</v>
      </c>
      <c r="K236" s="1">
        <v>2</v>
      </c>
      <c r="L236" s="1">
        <v>117818</v>
      </c>
      <c r="M236" s="1">
        <v>113071</v>
      </c>
      <c r="N236" s="1">
        <v>8</v>
      </c>
      <c r="O236" s="5">
        <v>127</v>
      </c>
      <c r="P236" s="2">
        <f>SUM(kip[[#This Row],[Orders_Delivered_OnTime]]/kip[[#This Row],[Orders_Placed]]*100)</f>
        <v>89.763779527559052</v>
      </c>
    </row>
    <row r="237" spans="1:16" x14ac:dyDescent="0.3">
      <c r="A237" s="4" t="s">
        <v>274</v>
      </c>
      <c r="B237" s="2" t="s">
        <v>264</v>
      </c>
      <c r="C237" s="2" t="s">
        <v>38</v>
      </c>
      <c r="D237" s="2" t="s">
        <v>18</v>
      </c>
      <c r="E237" s="2" t="s">
        <v>32</v>
      </c>
      <c r="F237" s="2">
        <v>144</v>
      </c>
      <c r="G237" s="2">
        <v>102</v>
      </c>
      <c r="H237" s="2">
        <v>42</v>
      </c>
      <c r="I237" s="2">
        <v>239</v>
      </c>
      <c r="J237" s="2">
        <v>135</v>
      </c>
      <c r="K237" s="2">
        <v>5</v>
      </c>
      <c r="L237" s="2">
        <v>167304</v>
      </c>
      <c r="M237" s="2">
        <v>190925</v>
      </c>
      <c r="N237" s="2">
        <v>8</v>
      </c>
      <c r="O237" s="6">
        <v>144</v>
      </c>
      <c r="P237" s="2">
        <f>SUM(kip[[#This Row],[Orders_Delivered_OnTime]]/kip[[#This Row],[Orders_Placed]]*100)</f>
        <v>70.833333333333343</v>
      </c>
    </row>
    <row r="238" spans="1:16" x14ac:dyDescent="0.3">
      <c r="A238" s="3" t="s">
        <v>275</v>
      </c>
      <c r="B238" s="1" t="s">
        <v>264</v>
      </c>
      <c r="C238" s="1" t="s">
        <v>38</v>
      </c>
      <c r="D238" s="1" t="s">
        <v>21</v>
      </c>
      <c r="E238" s="1" t="s">
        <v>32</v>
      </c>
      <c r="F238" s="1">
        <v>99</v>
      </c>
      <c r="G238" s="1">
        <v>84</v>
      </c>
      <c r="H238" s="1">
        <v>15</v>
      </c>
      <c r="I238" s="1">
        <v>727</v>
      </c>
      <c r="J238" s="1">
        <v>135</v>
      </c>
      <c r="K238" s="1">
        <v>2</v>
      </c>
      <c r="L238" s="1">
        <v>240712</v>
      </c>
      <c r="M238" s="1">
        <v>239643</v>
      </c>
      <c r="N238" s="1">
        <v>6</v>
      </c>
      <c r="O238" s="5">
        <v>99</v>
      </c>
      <c r="P238" s="2">
        <f>SUM(kip[[#This Row],[Orders_Delivered_OnTime]]/kip[[#This Row],[Orders_Placed]]*100)</f>
        <v>84.848484848484844</v>
      </c>
    </row>
    <row r="239" spans="1:16" x14ac:dyDescent="0.3">
      <c r="A239" s="4" t="s">
        <v>276</v>
      </c>
      <c r="B239" s="2" t="s">
        <v>264</v>
      </c>
      <c r="C239" s="2" t="s">
        <v>38</v>
      </c>
      <c r="D239" s="2" t="s">
        <v>23</v>
      </c>
      <c r="E239" s="2" t="s">
        <v>29</v>
      </c>
      <c r="F239" s="2">
        <v>155</v>
      </c>
      <c r="G239" s="2">
        <v>121</v>
      </c>
      <c r="H239" s="2">
        <v>34</v>
      </c>
      <c r="I239" s="2">
        <v>721</v>
      </c>
      <c r="J239" s="2">
        <v>236</v>
      </c>
      <c r="K239" s="2">
        <v>3</v>
      </c>
      <c r="L239" s="2">
        <v>227567</v>
      </c>
      <c r="M239" s="2">
        <v>225277</v>
      </c>
      <c r="N239" s="2">
        <v>0</v>
      </c>
      <c r="O239" s="6">
        <v>155</v>
      </c>
      <c r="P239" s="2">
        <f>SUM(kip[[#This Row],[Orders_Delivered_OnTime]]/kip[[#This Row],[Orders_Placed]]*100)</f>
        <v>78.064516129032256</v>
      </c>
    </row>
    <row r="240" spans="1:16" x14ac:dyDescent="0.3">
      <c r="A240" s="3" t="s">
        <v>277</v>
      </c>
      <c r="B240" s="1" t="s">
        <v>264</v>
      </c>
      <c r="C240" s="1" t="s">
        <v>38</v>
      </c>
      <c r="D240" s="1" t="s">
        <v>26</v>
      </c>
      <c r="E240" s="1" t="s">
        <v>29</v>
      </c>
      <c r="F240" s="1">
        <v>122</v>
      </c>
      <c r="G240" s="1">
        <v>105</v>
      </c>
      <c r="H240" s="1">
        <v>17</v>
      </c>
      <c r="I240" s="1">
        <v>626</v>
      </c>
      <c r="J240" s="1">
        <v>249</v>
      </c>
      <c r="K240" s="1">
        <v>2</v>
      </c>
      <c r="L240" s="1">
        <v>244956</v>
      </c>
      <c r="M240" s="1">
        <v>222418</v>
      </c>
      <c r="N240" s="1">
        <v>7</v>
      </c>
      <c r="O240" s="5">
        <v>122</v>
      </c>
      <c r="P240" s="2">
        <f>SUM(kip[[#This Row],[Orders_Delivered_OnTime]]/kip[[#This Row],[Orders_Placed]]*100)</f>
        <v>86.065573770491795</v>
      </c>
    </row>
    <row r="241" spans="1:16" x14ac:dyDescent="0.3">
      <c r="A241" s="4" t="s">
        <v>278</v>
      </c>
      <c r="B241" s="2" t="s">
        <v>264</v>
      </c>
      <c r="C241" s="2" t="s">
        <v>38</v>
      </c>
      <c r="D241" s="2" t="s">
        <v>28</v>
      </c>
      <c r="E241" s="2" t="s">
        <v>29</v>
      </c>
      <c r="F241" s="2">
        <v>163</v>
      </c>
      <c r="G241" s="2">
        <v>146</v>
      </c>
      <c r="H241" s="2">
        <v>17</v>
      </c>
      <c r="I241" s="2">
        <v>792</v>
      </c>
      <c r="J241" s="2">
        <v>247</v>
      </c>
      <c r="K241" s="2">
        <v>1</v>
      </c>
      <c r="L241" s="2">
        <v>93462</v>
      </c>
      <c r="M241" s="2">
        <v>100476</v>
      </c>
      <c r="N241" s="2">
        <v>2</v>
      </c>
      <c r="O241" s="6">
        <v>163</v>
      </c>
      <c r="P241" s="2">
        <f>SUM(kip[[#This Row],[Orders_Delivered_OnTime]]/kip[[#This Row],[Orders_Placed]]*100)</f>
        <v>89.570552147239269</v>
      </c>
    </row>
    <row r="242" spans="1:16" x14ac:dyDescent="0.3">
      <c r="A242" s="3" t="s">
        <v>279</v>
      </c>
      <c r="B242" s="1" t="s">
        <v>264</v>
      </c>
      <c r="C242" s="1" t="s">
        <v>44</v>
      </c>
      <c r="D242" s="1" t="s">
        <v>18</v>
      </c>
      <c r="E242" s="1" t="s">
        <v>32</v>
      </c>
      <c r="F242" s="1">
        <v>98</v>
      </c>
      <c r="G242" s="1">
        <v>88</v>
      </c>
      <c r="H242" s="1">
        <v>10</v>
      </c>
      <c r="I242" s="1">
        <v>448</v>
      </c>
      <c r="J242" s="1">
        <v>108</v>
      </c>
      <c r="K242" s="1">
        <v>4</v>
      </c>
      <c r="L242" s="1">
        <v>108808</v>
      </c>
      <c r="M242" s="1">
        <v>104154</v>
      </c>
      <c r="N242" s="1">
        <v>7</v>
      </c>
      <c r="O242" s="5">
        <v>98</v>
      </c>
      <c r="P242" s="2">
        <f>SUM(kip[[#This Row],[Orders_Delivered_OnTime]]/kip[[#This Row],[Orders_Placed]]*100)</f>
        <v>89.795918367346943</v>
      </c>
    </row>
    <row r="243" spans="1:16" x14ac:dyDescent="0.3">
      <c r="A243" s="4" t="s">
        <v>280</v>
      </c>
      <c r="B243" s="2" t="s">
        <v>264</v>
      </c>
      <c r="C243" s="2" t="s">
        <v>44</v>
      </c>
      <c r="D243" s="2" t="s">
        <v>21</v>
      </c>
      <c r="E243" s="2" t="s">
        <v>29</v>
      </c>
      <c r="F243" s="2">
        <v>133</v>
      </c>
      <c r="G243" s="2">
        <v>98</v>
      </c>
      <c r="H243" s="2">
        <v>35</v>
      </c>
      <c r="I243" s="2">
        <v>408</v>
      </c>
      <c r="J243" s="2">
        <v>205</v>
      </c>
      <c r="K243" s="2">
        <v>4</v>
      </c>
      <c r="L243" s="2">
        <v>240295</v>
      </c>
      <c r="M243" s="2">
        <v>282624</v>
      </c>
      <c r="N243" s="2">
        <v>0</v>
      </c>
      <c r="O243" s="6">
        <v>133</v>
      </c>
      <c r="P243" s="2">
        <f>SUM(kip[[#This Row],[Orders_Delivered_OnTime]]/kip[[#This Row],[Orders_Placed]]*100)</f>
        <v>73.68421052631578</v>
      </c>
    </row>
    <row r="244" spans="1:16" x14ac:dyDescent="0.3">
      <c r="A244" s="3" t="s">
        <v>281</v>
      </c>
      <c r="B244" s="1" t="s">
        <v>264</v>
      </c>
      <c r="C244" s="1" t="s">
        <v>44</v>
      </c>
      <c r="D244" s="1" t="s">
        <v>23</v>
      </c>
      <c r="E244" s="1" t="s">
        <v>24</v>
      </c>
      <c r="F244" s="1">
        <v>146</v>
      </c>
      <c r="G244" s="1">
        <v>109</v>
      </c>
      <c r="H244" s="1">
        <v>37</v>
      </c>
      <c r="I244" s="1">
        <v>532</v>
      </c>
      <c r="J244" s="1">
        <v>269</v>
      </c>
      <c r="K244" s="1">
        <v>3</v>
      </c>
      <c r="L244" s="1">
        <v>217750</v>
      </c>
      <c r="M244" s="1">
        <v>220591</v>
      </c>
      <c r="N244" s="1">
        <v>2</v>
      </c>
      <c r="O244" s="5">
        <v>146</v>
      </c>
      <c r="P244" s="2">
        <f>SUM(kip[[#This Row],[Orders_Delivered_OnTime]]/kip[[#This Row],[Orders_Placed]]*100)</f>
        <v>74.657534246575338</v>
      </c>
    </row>
    <row r="245" spans="1:16" x14ac:dyDescent="0.3">
      <c r="A245" s="4" t="s">
        <v>282</v>
      </c>
      <c r="B245" s="2" t="s">
        <v>264</v>
      </c>
      <c r="C245" s="2" t="s">
        <v>44</v>
      </c>
      <c r="D245" s="2" t="s">
        <v>26</v>
      </c>
      <c r="E245" s="2" t="s">
        <v>32</v>
      </c>
      <c r="F245" s="2">
        <v>196</v>
      </c>
      <c r="G245" s="2">
        <v>163</v>
      </c>
      <c r="H245" s="2">
        <v>33</v>
      </c>
      <c r="I245" s="2">
        <v>759</v>
      </c>
      <c r="J245" s="2">
        <v>190</v>
      </c>
      <c r="K245" s="2">
        <v>5</v>
      </c>
      <c r="L245" s="2">
        <v>248639</v>
      </c>
      <c r="M245" s="2">
        <v>283720</v>
      </c>
      <c r="N245" s="2">
        <v>8</v>
      </c>
      <c r="O245" s="6">
        <v>196</v>
      </c>
      <c r="P245" s="2">
        <f>SUM(kip[[#This Row],[Orders_Delivered_OnTime]]/kip[[#This Row],[Orders_Placed]]*100)</f>
        <v>83.16326530612244</v>
      </c>
    </row>
    <row r="246" spans="1:16" x14ac:dyDescent="0.3">
      <c r="A246" s="3" t="s">
        <v>283</v>
      </c>
      <c r="B246" s="1" t="s">
        <v>264</v>
      </c>
      <c r="C246" s="1" t="s">
        <v>44</v>
      </c>
      <c r="D246" s="1" t="s">
        <v>28</v>
      </c>
      <c r="E246" s="1" t="s">
        <v>32</v>
      </c>
      <c r="F246" s="1">
        <v>104</v>
      </c>
      <c r="G246" s="1">
        <v>97</v>
      </c>
      <c r="H246" s="1">
        <v>7</v>
      </c>
      <c r="I246" s="1">
        <v>485</v>
      </c>
      <c r="J246" s="1">
        <v>242</v>
      </c>
      <c r="K246" s="1">
        <v>2</v>
      </c>
      <c r="L246" s="1">
        <v>138947</v>
      </c>
      <c r="M246" s="1">
        <v>164297</v>
      </c>
      <c r="N246" s="1">
        <v>4</v>
      </c>
      <c r="O246" s="5">
        <v>104</v>
      </c>
      <c r="P246" s="2">
        <f>SUM(kip[[#This Row],[Orders_Delivered_OnTime]]/kip[[#This Row],[Orders_Placed]]*100)</f>
        <v>93.269230769230774</v>
      </c>
    </row>
    <row r="247" spans="1:16" x14ac:dyDescent="0.3">
      <c r="A247" s="4" t="s">
        <v>284</v>
      </c>
      <c r="B247" s="2" t="s">
        <v>264</v>
      </c>
      <c r="C247" s="2" t="s">
        <v>50</v>
      </c>
      <c r="D247" s="2" t="s">
        <v>18</v>
      </c>
      <c r="E247" s="2" t="s">
        <v>29</v>
      </c>
      <c r="F247" s="2">
        <v>170</v>
      </c>
      <c r="G247" s="2">
        <v>127</v>
      </c>
      <c r="H247" s="2">
        <v>43</v>
      </c>
      <c r="I247" s="2">
        <v>700</v>
      </c>
      <c r="J247" s="2">
        <v>181</v>
      </c>
      <c r="K247" s="2">
        <v>3</v>
      </c>
      <c r="L247" s="2">
        <v>171436</v>
      </c>
      <c r="M247" s="2">
        <v>183118</v>
      </c>
      <c r="N247" s="2">
        <v>12</v>
      </c>
      <c r="O247" s="6">
        <v>170</v>
      </c>
      <c r="P247" s="2">
        <f>SUM(kip[[#This Row],[Orders_Delivered_OnTime]]/kip[[#This Row],[Orders_Placed]]*100)</f>
        <v>74.705882352941174</v>
      </c>
    </row>
    <row r="248" spans="1:16" x14ac:dyDescent="0.3">
      <c r="A248" s="3" t="s">
        <v>285</v>
      </c>
      <c r="B248" s="1" t="s">
        <v>264</v>
      </c>
      <c r="C248" s="1" t="s">
        <v>50</v>
      </c>
      <c r="D248" s="1" t="s">
        <v>21</v>
      </c>
      <c r="E248" s="1" t="s">
        <v>29</v>
      </c>
      <c r="F248" s="1">
        <v>116</v>
      </c>
      <c r="G248" s="1">
        <v>84</v>
      </c>
      <c r="H248" s="1">
        <v>32</v>
      </c>
      <c r="I248" s="1">
        <v>756</v>
      </c>
      <c r="J248" s="1">
        <v>197</v>
      </c>
      <c r="K248" s="1">
        <v>3</v>
      </c>
      <c r="L248" s="1">
        <v>170474</v>
      </c>
      <c r="M248" s="1">
        <v>202247</v>
      </c>
      <c r="N248" s="1">
        <v>2</v>
      </c>
      <c r="O248" s="5">
        <v>116</v>
      </c>
      <c r="P248" s="2">
        <f>SUM(kip[[#This Row],[Orders_Delivered_OnTime]]/kip[[#This Row],[Orders_Placed]]*100)</f>
        <v>72.41379310344827</v>
      </c>
    </row>
    <row r="249" spans="1:16" x14ac:dyDescent="0.3">
      <c r="A249" s="4" t="s">
        <v>286</v>
      </c>
      <c r="B249" s="2" t="s">
        <v>264</v>
      </c>
      <c r="C249" s="2" t="s">
        <v>50</v>
      </c>
      <c r="D249" s="2" t="s">
        <v>23</v>
      </c>
      <c r="E249" s="2" t="s">
        <v>29</v>
      </c>
      <c r="F249" s="2">
        <v>85</v>
      </c>
      <c r="G249" s="2">
        <v>65</v>
      </c>
      <c r="H249" s="2">
        <v>20</v>
      </c>
      <c r="I249" s="2">
        <v>280</v>
      </c>
      <c r="J249" s="2">
        <v>188</v>
      </c>
      <c r="K249" s="2">
        <v>3</v>
      </c>
      <c r="L249" s="2">
        <v>147225</v>
      </c>
      <c r="M249" s="2">
        <v>165510</v>
      </c>
      <c r="N249" s="2">
        <v>1</v>
      </c>
      <c r="O249" s="6">
        <v>85</v>
      </c>
      <c r="P249" s="2">
        <f>SUM(kip[[#This Row],[Orders_Delivered_OnTime]]/kip[[#This Row],[Orders_Placed]]*100)</f>
        <v>76.470588235294116</v>
      </c>
    </row>
    <row r="250" spans="1:16" x14ac:dyDescent="0.3">
      <c r="A250" s="3" t="s">
        <v>287</v>
      </c>
      <c r="B250" s="1" t="s">
        <v>264</v>
      </c>
      <c r="C250" s="1" t="s">
        <v>50</v>
      </c>
      <c r="D250" s="1" t="s">
        <v>26</v>
      </c>
      <c r="E250" s="1" t="s">
        <v>24</v>
      </c>
      <c r="F250" s="1">
        <v>185</v>
      </c>
      <c r="G250" s="1">
        <v>154</v>
      </c>
      <c r="H250" s="1">
        <v>31</v>
      </c>
      <c r="I250" s="1">
        <v>775</v>
      </c>
      <c r="J250" s="1">
        <v>278</v>
      </c>
      <c r="K250" s="1">
        <v>2</v>
      </c>
      <c r="L250" s="1">
        <v>115985</v>
      </c>
      <c r="M250" s="1">
        <v>108187</v>
      </c>
      <c r="N250" s="1">
        <v>11</v>
      </c>
      <c r="O250" s="5">
        <v>185</v>
      </c>
      <c r="P250" s="2">
        <f>SUM(kip[[#This Row],[Orders_Delivered_OnTime]]/kip[[#This Row],[Orders_Placed]]*100)</f>
        <v>83.243243243243242</v>
      </c>
    </row>
    <row r="251" spans="1:16" x14ac:dyDescent="0.3">
      <c r="A251" s="4" t="s">
        <v>288</v>
      </c>
      <c r="B251" s="2" t="s">
        <v>264</v>
      </c>
      <c r="C251" s="2" t="s">
        <v>50</v>
      </c>
      <c r="D251" s="2" t="s">
        <v>28</v>
      </c>
      <c r="E251" s="2" t="s">
        <v>24</v>
      </c>
      <c r="F251" s="2">
        <v>111</v>
      </c>
      <c r="G251" s="2">
        <v>79</v>
      </c>
      <c r="H251" s="2">
        <v>32</v>
      </c>
      <c r="I251" s="2">
        <v>743</v>
      </c>
      <c r="J251" s="2">
        <v>157</v>
      </c>
      <c r="K251" s="2">
        <v>5</v>
      </c>
      <c r="L251" s="2">
        <v>141036</v>
      </c>
      <c r="M251" s="2">
        <v>129153</v>
      </c>
      <c r="N251" s="2">
        <v>6</v>
      </c>
      <c r="O251" s="6">
        <v>111</v>
      </c>
      <c r="P251" s="2">
        <f>SUM(kip[[#This Row],[Orders_Delivered_OnTime]]/kip[[#This Row],[Orders_Placed]]*100)</f>
        <v>71.171171171171167</v>
      </c>
    </row>
    <row r="252" spans="1:16" x14ac:dyDescent="0.3">
      <c r="A252" s="3" t="s">
        <v>289</v>
      </c>
      <c r="B252" s="1" t="s">
        <v>290</v>
      </c>
      <c r="C252" s="1" t="s">
        <v>17</v>
      </c>
      <c r="D252" s="1" t="s">
        <v>18</v>
      </c>
      <c r="E252" s="1" t="s">
        <v>29</v>
      </c>
      <c r="F252" s="1">
        <v>171</v>
      </c>
      <c r="G252" s="1">
        <v>139</v>
      </c>
      <c r="H252" s="1">
        <v>32</v>
      </c>
      <c r="I252" s="1">
        <v>340</v>
      </c>
      <c r="J252" s="1">
        <v>101</v>
      </c>
      <c r="K252" s="1">
        <v>4</v>
      </c>
      <c r="L252" s="1">
        <v>121403</v>
      </c>
      <c r="M252" s="1">
        <v>124082</v>
      </c>
      <c r="N252" s="1">
        <v>7</v>
      </c>
      <c r="O252" s="5">
        <v>171</v>
      </c>
      <c r="P252" s="2">
        <f>SUM(kip[[#This Row],[Orders_Delivered_OnTime]]/kip[[#This Row],[Orders_Placed]]*100)</f>
        <v>81.286549707602347</v>
      </c>
    </row>
    <row r="253" spans="1:16" x14ac:dyDescent="0.3">
      <c r="A253" s="4" t="s">
        <v>291</v>
      </c>
      <c r="B253" s="2" t="s">
        <v>290</v>
      </c>
      <c r="C253" s="2" t="s">
        <v>17</v>
      </c>
      <c r="D253" s="2" t="s">
        <v>21</v>
      </c>
      <c r="E253" s="2" t="s">
        <v>32</v>
      </c>
      <c r="F253" s="2">
        <v>163</v>
      </c>
      <c r="G253" s="2">
        <v>122</v>
      </c>
      <c r="H253" s="2">
        <v>41</v>
      </c>
      <c r="I253" s="2">
        <v>494</v>
      </c>
      <c r="J253" s="2">
        <v>182</v>
      </c>
      <c r="K253" s="2">
        <v>2</v>
      </c>
      <c r="L253" s="2">
        <v>249318</v>
      </c>
      <c r="M253" s="2">
        <v>228811</v>
      </c>
      <c r="N253" s="2">
        <v>12</v>
      </c>
      <c r="O253" s="6">
        <v>163</v>
      </c>
      <c r="P253" s="2">
        <f>SUM(kip[[#This Row],[Orders_Delivered_OnTime]]/kip[[#This Row],[Orders_Placed]]*100)</f>
        <v>74.846625766871171</v>
      </c>
    </row>
    <row r="254" spans="1:16" x14ac:dyDescent="0.3">
      <c r="A254" s="3" t="s">
        <v>292</v>
      </c>
      <c r="B254" s="1" t="s">
        <v>290</v>
      </c>
      <c r="C254" s="1" t="s">
        <v>17</v>
      </c>
      <c r="D254" s="1" t="s">
        <v>23</v>
      </c>
      <c r="E254" s="1" t="s">
        <v>19</v>
      </c>
      <c r="F254" s="1">
        <v>163</v>
      </c>
      <c r="G254" s="1">
        <v>137</v>
      </c>
      <c r="H254" s="1">
        <v>26</v>
      </c>
      <c r="I254" s="1">
        <v>747</v>
      </c>
      <c r="J254" s="1">
        <v>289</v>
      </c>
      <c r="K254" s="1">
        <v>5</v>
      </c>
      <c r="L254" s="1">
        <v>89777</v>
      </c>
      <c r="M254" s="1">
        <v>105395</v>
      </c>
      <c r="N254" s="1">
        <v>2</v>
      </c>
      <c r="O254" s="5">
        <v>163</v>
      </c>
      <c r="P254" s="2">
        <f>SUM(kip[[#This Row],[Orders_Delivered_OnTime]]/kip[[#This Row],[Orders_Placed]]*100)</f>
        <v>84.049079754601223</v>
      </c>
    </row>
    <row r="255" spans="1:16" x14ac:dyDescent="0.3">
      <c r="A255" s="4" t="s">
        <v>293</v>
      </c>
      <c r="B255" s="2" t="s">
        <v>290</v>
      </c>
      <c r="C255" s="2" t="s">
        <v>17</v>
      </c>
      <c r="D255" s="2" t="s">
        <v>26</v>
      </c>
      <c r="E255" s="2" t="s">
        <v>32</v>
      </c>
      <c r="F255" s="2">
        <v>192</v>
      </c>
      <c r="G255" s="2">
        <v>174</v>
      </c>
      <c r="H255" s="2">
        <v>18</v>
      </c>
      <c r="I255" s="2">
        <v>237</v>
      </c>
      <c r="J255" s="2">
        <v>201</v>
      </c>
      <c r="K255" s="2">
        <v>3</v>
      </c>
      <c r="L255" s="2">
        <v>128840</v>
      </c>
      <c r="M255" s="2">
        <v>152157</v>
      </c>
      <c r="N255" s="2">
        <v>9</v>
      </c>
      <c r="O255" s="6">
        <v>192</v>
      </c>
      <c r="P255" s="2">
        <f>SUM(kip[[#This Row],[Orders_Delivered_OnTime]]/kip[[#This Row],[Orders_Placed]]*100)</f>
        <v>90.625</v>
      </c>
    </row>
    <row r="256" spans="1:16" x14ac:dyDescent="0.3">
      <c r="A256" s="3" t="s">
        <v>294</v>
      </c>
      <c r="B256" s="1" t="s">
        <v>290</v>
      </c>
      <c r="C256" s="1" t="s">
        <v>17</v>
      </c>
      <c r="D256" s="1" t="s">
        <v>28</v>
      </c>
      <c r="E256" s="1" t="s">
        <v>19</v>
      </c>
      <c r="F256" s="1">
        <v>81</v>
      </c>
      <c r="G256" s="1">
        <v>62</v>
      </c>
      <c r="H256" s="1">
        <v>19</v>
      </c>
      <c r="I256" s="1">
        <v>309</v>
      </c>
      <c r="J256" s="1">
        <v>185</v>
      </c>
      <c r="K256" s="1">
        <v>2</v>
      </c>
      <c r="L256" s="1">
        <v>199104</v>
      </c>
      <c r="M256" s="1">
        <v>238273</v>
      </c>
      <c r="N256" s="1">
        <v>4</v>
      </c>
      <c r="O256" s="5">
        <v>81</v>
      </c>
      <c r="P256" s="2">
        <f>SUM(kip[[#This Row],[Orders_Delivered_OnTime]]/kip[[#This Row],[Orders_Placed]]*100)</f>
        <v>76.543209876543202</v>
      </c>
    </row>
    <row r="257" spans="1:16" x14ac:dyDescent="0.3">
      <c r="A257" s="4" t="s">
        <v>295</v>
      </c>
      <c r="B257" s="2" t="s">
        <v>290</v>
      </c>
      <c r="C257" s="2" t="s">
        <v>31</v>
      </c>
      <c r="D257" s="2" t="s">
        <v>18</v>
      </c>
      <c r="E257" s="2" t="s">
        <v>32</v>
      </c>
      <c r="F257" s="2">
        <v>193</v>
      </c>
      <c r="G257" s="2">
        <v>180</v>
      </c>
      <c r="H257" s="2">
        <v>13</v>
      </c>
      <c r="I257" s="2">
        <v>716</v>
      </c>
      <c r="J257" s="2">
        <v>219</v>
      </c>
      <c r="K257" s="2">
        <v>2</v>
      </c>
      <c r="L257" s="2">
        <v>130544</v>
      </c>
      <c r="M257" s="2">
        <v>149165</v>
      </c>
      <c r="N257" s="2">
        <v>10</v>
      </c>
      <c r="O257" s="6">
        <v>193</v>
      </c>
      <c r="P257" s="2">
        <f>SUM(kip[[#This Row],[Orders_Delivered_OnTime]]/kip[[#This Row],[Orders_Placed]]*100)</f>
        <v>93.264248704663217</v>
      </c>
    </row>
    <row r="258" spans="1:16" x14ac:dyDescent="0.3">
      <c r="A258" s="3" t="s">
        <v>296</v>
      </c>
      <c r="B258" s="1" t="s">
        <v>290</v>
      </c>
      <c r="C258" s="1" t="s">
        <v>31</v>
      </c>
      <c r="D258" s="1" t="s">
        <v>21</v>
      </c>
      <c r="E258" s="1" t="s">
        <v>24</v>
      </c>
      <c r="F258" s="1">
        <v>173</v>
      </c>
      <c r="G258" s="1">
        <v>140</v>
      </c>
      <c r="H258" s="1">
        <v>33</v>
      </c>
      <c r="I258" s="1">
        <v>463</v>
      </c>
      <c r="J258" s="1">
        <v>283</v>
      </c>
      <c r="K258" s="1">
        <v>1</v>
      </c>
      <c r="L258" s="1">
        <v>83692</v>
      </c>
      <c r="M258" s="1">
        <v>93817</v>
      </c>
      <c r="N258" s="1">
        <v>12</v>
      </c>
      <c r="O258" s="5">
        <v>173</v>
      </c>
      <c r="P258" s="2">
        <f>SUM(kip[[#This Row],[Orders_Delivered_OnTime]]/kip[[#This Row],[Orders_Placed]]*100)</f>
        <v>80.924855491329481</v>
      </c>
    </row>
    <row r="259" spans="1:16" x14ac:dyDescent="0.3">
      <c r="A259" s="4" t="s">
        <v>297</v>
      </c>
      <c r="B259" s="2" t="s">
        <v>290</v>
      </c>
      <c r="C259" s="2" t="s">
        <v>31</v>
      </c>
      <c r="D259" s="2" t="s">
        <v>23</v>
      </c>
      <c r="E259" s="2" t="s">
        <v>29</v>
      </c>
      <c r="F259" s="2">
        <v>152</v>
      </c>
      <c r="G259" s="2">
        <v>132</v>
      </c>
      <c r="H259" s="2">
        <v>20</v>
      </c>
      <c r="I259" s="2">
        <v>397</v>
      </c>
      <c r="J259" s="2">
        <v>144</v>
      </c>
      <c r="K259" s="2">
        <v>4</v>
      </c>
      <c r="L259" s="2">
        <v>247438</v>
      </c>
      <c r="M259" s="2">
        <v>289282</v>
      </c>
      <c r="N259" s="2">
        <v>6</v>
      </c>
      <c r="O259" s="6">
        <v>152</v>
      </c>
      <c r="P259" s="2">
        <f>SUM(kip[[#This Row],[Orders_Delivered_OnTime]]/kip[[#This Row],[Orders_Placed]]*100)</f>
        <v>86.842105263157904</v>
      </c>
    </row>
    <row r="260" spans="1:16" x14ac:dyDescent="0.3">
      <c r="A260" s="3" t="s">
        <v>298</v>
      </c>
      <c r="B260" s="1" t="s">
        <v>290</v>
      </c>
      <c r="C260" s="1" t="s">
        <v>31</v>
      </c>
      <c r="D260" s="1" t="s">
        <v>26</v>
      </c>
      <c r="E260" s="1" t="s">
        <v>29</v>
      </c>
      <c r="F260" s="1">
        <v>91</v>
      </c>
      <c r="G260" s="1">
        <v>72</v>
      </c>
      <c r="H260" s="1">
        <v>19</v>
      </c>
      <c r="I260" s="1">
        <v>297</v>
      </c>
      <c r="J260" s="1">
        <v>147</v>
      </c>
      <c r="K260" s="1">
        <v>1</v>
      </c>
      <c r="L260" s="1">
        <v>205161</v>
      </c>
      <c r="M260" s="1">
        <v>204562</v>
      </c>
      <c r="N260" s="1">
        <v>3</v>
      </c>
      <c r="O260" s="5">
        <v>91</v>
      </c>
      <c r="P260" s="2">
        <f>SUM(kip[[#This Row],[Orders_Delivered_OnTime]]/kip[[#This Row],[Orders_Placed]]*100)</f>
        <v>79.120879120879124</v>
      </c>
    </row>
    <row r="261" spans="1:16" x14ac:dyDescent="0.3">
      <c r="A261" s="4" t="s">
        <v>299</v>
      </c>
      <c r="B261" s="2" t="s">
        <v>290</v>
      </c>
      <c r="C261" s="2" t="s">
        <v>31</v>
      </c>
      <c r="D261" s="2" t="s">
        <v>28</v>
      </c>
      <c r="E261" s="2" t="s">
        <v>19</v>
      </c>
      <c r="F261" s="2">
        <v>113</v>
      </c>
      <c r="G261" s="2">
        <v>89</v>
      </c>
      <c r="H261" s="2">
        <v>24</v>
      </c>
      <c r="I261" s="2">
        <v>657</v>
      </c>
      <c r="J261" s="2">
        <v>292</v>
      </c>
      <c r="K261" s="2">
        <v>2</v>
      </c>
      <c r="L261" s="2">
        <v>166409</v>
      </c>
      <c r="M261" s="2">
        <v>164842</v>
      </c>
      <c r="N261" s="2">
        <v>9</v>
      </c>
      <c r="O261" s="6">
        <v>113</v>
      </c>
      <c r="P261" s="2">
        <f>SUM(kip[[#This Row],[Orders_Delivered_OnTime]]/kip[[#This Row],[Orders_Placed]]*100)</f>
        <v>78.761061946902657</v>
      </c>
    </row>
    <row r="262" spans="1:16" x14ac:dyDescent="0.3">
      <c r="A262" s="3" t="s">
        <v>300</v>
      </c>
      <c r="B262" s="1" t="s">
        <v>290</v>
      </c>
      <c r="C262" s="1" t="s">
        <v>38</v>
      </c>
      <c r="D262" s="1" t="s">
        <v>18</v>
      </c>
      <c r="E262" s="1" t="s">
        <v>19</v>
      </c>
      <c r="F262" s="1">
        <v>113</v>
      </c>
      <c r="G262" s="1">
        <v>97</v>
      </c>
      <c r="H262" s="1">
        <v>16</v>
      </c>
      <c r="I262" s="1">
        <v>441</v>
      </c>
      <c r="J262" s="1">
        <v>115</v>
      </c>
      <c r="K262" s="1">
        <v>5</v>
      </c>
      <c r="L262" s="1">
        <v>110991</v>
      </c>
      <c r="M262" s="1">
        <v>115388</v>
      </c>
      <c r="N262" s="1">
        <v>2</v>
      </c>
      <c r="O262" s="5">
        <v>113</v>
      </c>
      <c r="P262" s="2">
        <f>SUM(kip[[#This Row],[Orders_Delivered_OnTime]]/kip[[#This Row],[Orders_Placed]]*100)</f>
        <v>85.840707964601776</v>
      </c>
    </row>
    <row r="263" spans="1:16" x14ac:dyDescent="0.3">
      <c r="A263" s="4" t="s">
        <v>301</v>
      </c>
      <c r="B263" s="2" t="s">
        <v>290</v>
      </c>
      <c r="C263" s="2" t="s">
        <v>38</v>
      </c>
      <c r="D263" s="2" t="s">
        <v>21</v>
      </c>
      <c r="E263" s="2" t="s">
        <v>32</v>
      </c>
      <c r="F263" s="2">
        <v>167</v>
      </c>
      <c r="G263" s="2">
        <v>137</v>
      </c>
      <c r="H263" s="2">
        <v>30</v>
      </c>
      <c r="I263" s="2">
        <v>518</v>
      </c>
      <c r="J263" s="2">
        <v>276</v>
      </c>
      <c r="K263" s="2">
        <v>0</v>
      </c>
      <c r="L263" s="2">
        <v>247434</v>
      </c>
      <c r="M263" s="2">
        <v>290695</v>
      </c>
      <c r="N263" s="2">
        <v>4</v>
      </c>
      <c r="O263" s="6">
        <v>167</v>
      </c>
      <c r="P263" s="2">
        <f>SUM(kip[[#This Row],[Orders_Delivered_OnTime]]/kip[[#This Row],[Orders_Placed]]*100)</f>
        <v>82.035928143712582</v>
      </c>
    </row>
    <row r="264" spans="1:16" x14ac:dyDescent="0.3">
      <c r="A264" s="3" t="s">
        <v>302</v>
      </c>
      <c r="B264" s="1" t="s">
        <v>290</v>
      </c>
      <c r="C264" s="1" t="s">
        <v>38</v>
      </c>
      <c r="D264" s="1" t="s">
        <v>23</v>
      </c>
      <c r="E264" s="1" t="s">
        <v>29</v>
      </c>
      <c r="F264" s="1">
        <v>158</v>
      </c>
      <c r="G264" s="1">
        <v>119</v>
      </c>
      <c r="H264" s="1">
        <v>39</v>
      </c>
      <c r="I264" s="1">
        <v>336</v>
      </c>
      <c r="J264" s="1">
        <v>222</v>
      </c>
      <c r="K264" s="1">
        <v>1</v>
      </c>
      <c r="L264" s="1">
        <v>199269</v>
      </c>
      <c r="M264" s="1">
        <v>224042</v>
      </c>
      <c r="N264" s="1">
        <v>9</v>
      </c>
      <c r="O264" s="5">
        <v>158</v>
      </c>
      <c r="P264" s="2">
        <f>SUM(kip[[#This Row],[Orders_Delivered_OnTime]]/kip[[#This Row],[Orders_Placed]]*100)</f>
        <v>75.316455696202539</v>
      </c>
    </row>
    <row r="265" spans="1:16" x14ac:dyDescent="0.3">
      <c r="A265" s="4" t="s">
        <v>303</v>
      </c>
      <c r="B265" s="2" t="s">
        <v>290</v>
      </c>
      <c r="C265" s="2" t="s">
        <v>38</v>
      </c>
      <c r="D265" s="2" t="s">
        <v>26</v>
      </c>
      <c r="E265" s="2" t="s">
        <v>29</v>
      </c>
      <c r="F265" s="2">
        <v>133</v>
      </c>
      <c r="G265" s="2">
        <v>116</v>
      </c>
      <c r="H265" s="2">
        <v>17</v>
      </c>
      <c r="I265" s="2">
        <v>682</v>
      </c>
      <c r="J265" s="2">
        <v>293</v>
      </c>
      <c r="K265" s="2">
        <v>4</v>
      </c>
      <c r="L265" s="2">
        <v>137255</v>
      </c>
      <c r="M265" s="2">
        <v>154900</v>
      </c>
      <c r="N265" s="2">
        <v>10</v>
      </c>
      <c r="O265" s="6">
        <v>133</v>
      </c>
      <c r="P265" s="2">
        <f>SUM(kip[[#This Row],[Orders_Delivered_OnTime]]/kip[[#This Row],[Orders_Placed]]*100)</f>
        <v>87.218045112781951</v>
      </c>
    </row>
    <row r="266" spans="1:16" x14ac:dyDescent="0.3">
      <c r="A266" s="3" t="s">
        <v>304</v>
      </c>
      <c r="B266" s="1" t="s">
        <v>290</v>
      </c>
      <c r="C266" s="1" t="s">
        <v>38</v>
      </c>
      <c r="D266" s="1" t="s">
        <v>28</v>
      </c>
      <c r="E266" s="1" t="s">
        <v>19</v>
      </c>
      <c r="F266" s="1">
        <v>147</v>
      </c>
      <c r="G266" s="1">
        <v>119</v>
      </c>
      <c r="H266" s="1">
        <v>28</v>
      </c>
      <c r="I266" s="1">
        <v>570</v>
      </c>
      <c r="J266" s="1">
        <v>119</v>
      </c>
      <c r="K266" s="1">
        <v>4</v>
      </c>
      <c r="L266" s="1">
        <v>109414</v>
      </c>
      <c r="M266" s="1">
        <v>100499</v>
      </c>
      <c r="N266" s="1">
        <v>8</v>
      </c>
      <c r="O266" s="5">
        <v>147</v>
      </c>
      <c r="P266" s="2">
        <f>SUM(kip[[#This Row],[Orders_Delivered_OnTime]]/kip[[#This Row],[Orders_Placed]]*100)</f>
        <v>80.952380952380949</v>
      </c>
    </row>
    <row r="267" spans="1:16" x14ac:dyDescent="0.3">
      <c r="A267" s="4" t="s">
        <v>305</v>
      </c>
      <c r="B267" s="2" t="s">
        <v>290</v>
      </c>
      <c r="C267" s="2" t="s">
        <v>44</v>
      </c>
      <c r="D267" s="2" t="s">
        <v>18</v>
      </c>
      <c r="E267" s="2" t="s">
        <v>24</v>
      </c>
      <c r="F267" s="2">
        <v>153</v>
      </c>
      <c r="G267" s="2">
        <v>127</v>
      </c>
      <c r="H267" s="2">
        <v>26</v>
      </c>
      <c r="I267" s="2">
        <v>368</v>
      </c>
      <c r="J267" s="2">
        <v>183</v>
      </c>
      <c r="K267" s="2">
        <v>4</v>
      </c>
      <c r="L267" s="2">
        <v>195825</v>
      </c>
      <c r="M267" s="2">
        <v>183071</v>
      </c>
      <c r="N267" s="2">
        <v>3</v>
      </c>
      <c r="O267" s="6">
        <v>153</v>
      </c>
      <c r="P267" s="2">
        <f>SUM(kip[[#This Row],[Orders_Delivered_OnTime]]/kip[[#This Row],[Orders_Placed]]*100)</f>
        <v>83.006535947712422</v>
      </c>
    </row>
    <row r="268" spans="1:16" x14ac:dyDescent="0.3">
      <c r="A268" s="3" t="s">
        <v>306</v>
      </c>
      <c r="B268" s="1" t="s">
        <v>290</v>
      </c>
      <c r="C268" s="1" t="s">
        <v>44</v>
      </c>
      <c r="D268" s="1" t="s">
        <v>21</v>
      </c>
      <c r="E268" s="1" t="s">
        <v>32</v>
      </c>
      <c r="F268" s="1">
        <v>91</v>
      </c>
      <c r="G268" s="1">
        <v>84</v>
      </c>
      <c r="H268" s="1">
        <v>7</v>
      </c>
      <c r="I268" s="1">
        <v>656</v>
      </c>
      <c r="J268" s="1">
        <v>114</v>
      </c>
      <c r="K268" s="1">
        <v>3</v>
      </c>
      <c r="L268" s="1">
        <v>114588</v>
      </c>
      <c r="M268" s="1">
        <v>120772</v>
      </c>
      <c r="N268" s="1">
        <v>7</v>
      </c>
      <c r="O268" s="5">
        <v>91</v>
      </c>
      <c r="P268" s="2">
        <f>SUM(kip[[#This Row],[Orders_Delivered_OnTime]]/kip[[#This Row],[Orders_Placed]]*100)</f>
        <v>92.307692307692307</v>
      </c>
    </row>
    <row r="269" spans="1:16" x14ac:dyDescent="0.3">
      <c r="A269" s="4" t="s">
        <v>307</v>
      </c>
      <c r="B269" s="2" t="s">
        <v>290</v>
      </c>
      <c r="C269" s="2" t="s">
        <v>44</v>
      </c>
      <c r="D269" s="2" t="s">
        <v>23</v>
      </c>
      <c r="E269" s="2" t="s">
        <v>19</v>
      </c>
      <c r="F269" s="2">
        <v>151</v>
      </c>
      <c r="G269" s="2">
        <v>123</v>
      </c>
      <c r="H269" s="2">
        <v>28</v>
      </c>
      <c r="I269" s="2">
        <v>515</v>
      </c>
      <c r="J269" s="2">
        <v>285</v>
      </c>
      <c r="K269" s="2">
        <v>0</v>
      </c>
      <c r="L269" s="2">
        <v>183795</v>
      </c>
      <c r="M269" s="2">
        <v>179445</v>
      </c>
      <c r="N269" s="2">
        <v>0</v>
      </c>
      <c r="O269" s="6">
        <v>151</v>
      </c>
      <c r="P269" s="2">
        <f>SUM(kip[[#This Row],[Orders_Delivered_OnTime]]/kip[[#This Row],[Orders_Placed]]*100)</f>
        <v>81.456953642384107</v>
      </c>
    </row>
    <row r="270" spans="1:16" x14ac:dyDescent="0.3">
      <c r="A270" s="3" t="s">
        <v>308</v>
      </c>
      <c r="B270" s="1" t="s">
        <v>290</v>
      </c>
      <c r="C270" s="1" t="s">
        <v>44</v>
      </c>
      <c r="D270" s="1" t="s">
        <v>26</v>
      </c>
      <c r="E270" s="1" t="s">
        <v>24</v>
      </c>
      <c r="F270" s="1">
        <v>154</v>
      </c>
      <c r="G270" s="1">
        <v>110</v>
      </c>
      <c r="H270" s="1">
        <v>44</v>
      </c>
      <c r="I270" s="1">
        <v>633</v>
      </c>
      <c r="J270" s="1">
        <v>188</v>
      </c>
      <c r="K270" s="1">
        <v>5</v>
      </c>
      <c r="L270" s="1">
        <v>96714</v>
      </c>
      <c r="M270" s="1">
        <v>102744</v>
      </c>
      <c r="N270" s="1">
        <v>0</v>
      </c>
      <c r="O270" s="5">
        <v>154</v>
      </c>
      <c r="P270" s="2">
        <f>SUM(kip[[#This Row],[Orders_Delivered_OnTime]]/kip[[#This Row],[Orders_Placed]]*100)</f>
        <v>71.428571428571431</v>
      </c>
    </row>
    <row r="271" spans="1:16" x14ac:dyDescent="0.3">
      <c r="A271" s="4" t="s">
        <v>309</v>
      </c>
      <c r="B271" s="2" t="s">
        <v>290</v>
      </c>
      <c r="C271" s="2" t="s">
        <v>44</v>
      </c>
      <c r="D271" s="2" t="s">
        <v>28</v>
      </c>
      <c r="E271" s="2" t="s">
        <v>19</v>
      </c>
      <c r="F271" s="2">
        <v>199</v>
      </c>
      <c r="G271" s="2">
        <v>162</v>
      </c>
      <c r="H271" s="2">
        <v>37</v>
      </c>
      <c r="I271" s="2">
        <v>493</v>
      </c>
      <c r="J271" s="2">
        <v>204</v>
      </c>
      <c r="K271" s="2">
        <v>1</v>
      </c>
      <c r="L271" s="2">
        <v>115501</v>
      </c>
      <c r="M271" s="2">
        <v>130487</v>
      </c>
      <c r="N271" s="2">
        <v>13</v>
      </c>
      <c r="O271" s="6">
        <v>199</v>
      </c>
      <c r="P271" s="2">
        <f>SUM(kip[[#This Row],[Orders_Delivered_OnTime]]/kip[[#This Row],[Orders_Placed]]*100)</f>
        <v>81.4070351758794</v>
      </c>
    </row>
    <row r="272" spans="1:16" x14ac:dyDescent="0.3">
      <c r="A272" s="3" t="s">
        <v>310</v>
      </c>
      <c r="B272" s="1" t="s">
        <v>290</v>
      </c>
      <c r="C272" s="1" t="s">
        <v>50</v>
      </c>
      <c r="D272" s="1" t="s">
        <v>18</v>
      </c>
      <c r="E272" s="1" t="s">
        <v>29</v>
      </c>
      <c r="F272" s="1">
        <v>194</v>
      </c>
      <c r="G272" s="1">
        <v>154</v>
      </c>
      <c r="H272" s="1">
        <v>40</v>
      </c>
      <c r="I272" s="1">
        <v>586</v>
      </c>
      <c r="J272" s="1">
        <v>196</v>
      </c>
      <c r="K272" s="1">
        <v>0</v>
      </c>
      <c r="L272" s="1">
        <v>221374</v>
      </c>
      <c r="M272" s="1">
        <v>208068</v>
      </c>
      <c r="N272" s="1">
        <v>11</v>
      </c>
      <c r="O272" s="5">
        <v>194</v>
      </c>
      <c r="P272" s="2">
        <f>SUM(kip[[#This Row],[Orders_Delivered_OnTime]]/kip[[#This Row],[Orders_Placed]]*100)</f>
        <v>79.381443298969074</v>
      </c>
    </row>
    <row r="273" spans="1:16" x14ac:dyDescent="0.3">
      <c r="A273" s="4" t="s">
        <v>311</v>
      </c>
      <c r="B273" s="2" t="s">
        <v>290</v>
      </c>
      <c r="C273" s="2" t="s">
        <v>50</v>
      </c>
      <c r="D273" s="2" t="s">
        <v>21</v>
      </c>
      <c r="E273" s="2" t="s">
        <v>19</v>
      </c>
      <c r="F273" s="2">
        <v>102</v>
      </c>
      <c r="G273" s="2">
        <v>96</v>
      </c>
      <c r="H273" s="2">
        <v>6</v>
      </c>
      <c r="I273" s="2">
        <v>602</v>
      </c>
      <c r="J273" s="2">
        <v>235</v>
      </c>
      <c r="K273" s="2">
        <v>1</v>
      </c>
      <c r="L273" s="2">
        <v>138376</v>
      </c>
      <c r="M273" s="2">
        <v>159194</v>
      </c>
      <c r="N273" s="2">
        <v>0</v>
      </c>
      <c r="O273" s="6">
        <v>102</v>
      </c>
      <c r="P273" s="2">
        <f>SUM(kip[[#This Row],[Orders_Delivered_OnTime]]/kip[[#This Row],[Orders_Placed]]*100)</f>
        <v>94.117647058823522</v>
      </c>
    </row>
    <row r="274" spans="1:16" x14ac:dyDescent="0.3">
      <c r="A274" s="3" t="s">
        <v>312</v>
      </c>
      <c r="B274" s="1" t="s">
        <v>290</v>
      </c>
      <c r="C274" s="1" t="s">
        <v>50</v>
      </c>
      <c r="D274" s="1" t="s">
        <v>23</v>
      </c>
      <c r="E274" s="1" t="s">
        <v>29</v>
      </c>
      <c r="F274" s="1">
        <v>139</v>
      </c>
      <c r="G274" s="1">
        <v>120</v>
      </c>
      <c r="H274" s="1">
        <v>19</v>
      </c>
      <c r="I274" s="1">
        <v>757</v>
      </c>
      <c r="J274" s="1">
        <v>208</v>
      </c>
      <c r="K274" s="1">
        <v>4</v>
      </c>
      <c r="L274" s="1">
        <v>179425</v>
      </c>
      <c r="M274" s="1">
        <v>205801</v>
      </c>
      <c r="N274" s="1">
        <v>3</v>
      </c>
      <c r="O274" s="5">
        <v>139</v>
      </c>
      <c r="P274" s="2">
        <f>SUM(kip[[#This Row],[Orders_Delivered_OnTime]]/kip[[#This Row],[Orders_Placed]]*100)</f>
        <v>86.330935251798564</v>
      </c>
    </row>
    <row r="275" spans="1:16" x14ac:dyDescent="0.3">
      <c r="A275" s="4" t="s">
        <v>313</v>
      </c>
      <c r="B275" s="2" t="s">
        <v>290</v>
      </c>
      <c r="C275" s="2" t="s">
        <v>50</v>
      </c>
      <c r="D275" s="2" t="s">
        <v>26</v>
      </c>
      <c r="E275" s="2" t="s">
        <v>32</v>
      </c>
      <c r="F275" s="2">
        <v>124</v>
      </c>
      <c r="G275" s="2">
        <v>91</v>
      </c>
      <c r="H275" s="2">
        <v>33</v>
      </c>
      <c r="I275" s="2">
        <v>393</v>
      </c>
      <c r="J275" s="2">
        <v>285</v>
      </c>
      <c r="K275" s="2">
        <v>0</v>
      </c>
      <c r="L275" s="2">
        <v>88445</v>
      </c>
      <c r="M275" s="2">
        <v>101078</v>
      </c>
      <c r="N275" s="2">
        <v>6</v>
      </c>
      <c r="O275" s="6">
        <v>124</v>
      </c>
      <c r="P275" s="2">
        <f>SUM(kip[[#This Row],[Orders_Delivered_OnTime]]/kip[[#This Row],[Orders_Placed]]*100)</f>
        <v>73.387096774193552</v>
      </c>
    </row>
    <row r="276" spans="1:16" x14ac:dyDescent="0.3">
      <c r="A276" s="3" t="s">
        <v>314</v>
      </c>
      <c r="B276" s="1" t="s">
        <v>290</v>
      </c>
      <c r="C276" s="1" t="s">
        <v>50</v>
      </c>
      <c r="D276" s="1" t="s">
        <v>28</v>
      </c>
      <c r="E276" s="1" t="s">
        <v>19</v>
      </c>
      <c r="F276" s="1">
        <v>110</v>
      </c>
      <c r="G276" s="1">
        <v>82</v>
      </c>
      <c r="H276" s="1">
        <v>28</v>
      </c>
      <c r="I276" s="1">
        <v>303</v>
      </c>
      <c r="J276" s="1">
        <v>252</v>
      </c>
      <c r="K276" s="1">
        <v>0</v>
      </c>
      <c r="L276" s="1">
        <v>197031</v>
      </c>
      <c r="M276" s="1">
        <v>212662</v>
      </c>
      <c r="N276" s="1">
        <v>0</v>
      </c>
      <c r="O276" s="5">
        <v>110</v>
      </c>
      <c r="P276" s="2">
        <f>SUM(kip[[#This Row],[Orders_Delivered_OnTime]]/kip[[#This Row],[Orders_Placed]]*100)</f>
        <v>74.545454545454547</v>
      </c>
    </row>
    <row r="277" spans="1:16" x14ac:dyDescent="0.3">
      <c r="A277" s="4" t="s">
        <v>315</v>
      </c>
      <c r="B277" s="2" t="s">
        <v>316</v>
      </c>
      <c r="C277" s="2" t="s">
        <v>17</v>
      </c>
      <c r="D277" s="2" t="s">
        <v>18</v>
      </c>
      <c r="E277" s="2" t="s">
        <v>24</v>
      </c>
      <c r="F277" s="2">
        <v>174</v>
      </c>
      <c r="G277" s="2">
        <v>123</v>
      </c>
      <c r="H277" s="2">
        <v>51</v>
      </c>
      <c r="I277" s="2">
        <v>649</v>
      </c>
      <c r="J277" s="2">
        <v>159</v>
      </c>
      <c r="K277" s="2">
        <v>4</v>
      </c>
      <c r="L277" s="2">
        <v>136955</v>
      </c>
      <c r="M277" s="2">
        <v>154254</v>
      </c>
      <c r="N277" s="2">
        <v>12</v>
      </c>
      <c r="O277" s="6">
        <v>174</v>
      </c>
      <c r="P277" s="2">
        <f>SUM(kip[[#This Row],[Orders_Delivered_OnTime]]/kip[[#This Row],[Orders_Placed]]*100)</f>
        <v>70.689655172413794</v>
      </c>
    </row>
    <row r="278" spans="1:16" x14ac:dyDescent="0.3">
      <c r="A278" s="3" t="s">
        <v>317</v>
      </c>
      <c r="B278" s="1" t="s">
        <v>316</v>
      </c>
      <c r="C278" s="1" t="s">
        <v>17</v>
      </c>
      <c r="D278" s="1" t="s">
        <v>21</v>
      </c>
      <c r="E278" s="1" t="s">
        <v>19</v>
      </c>
      <c r="F278" s="1">
        <v>97</v>
      </c>
      <c r="G278" s="1">
        <v>80</v>
      </c>
      <c r="H278" s="1">
        <v>17</v>
      </c>
      <c r="I278" s="1">
        <v>496</v>
      </c>
      <c r="J278" s="1">
        <v>159</v>
      </c>
      <c r="K278" s="1">
        <v>5</v>
      </c>
      <c r="L278" s="1">
        <v>231023</v>
      </c>
      <c r="M278" s="1">
        <v>230022</v>
      </c>
      <c r="N278" s="1">
        <v>5</v>
      </c>
      <c r="O278" s="5">
        <v>97</v>
      </c>
      <c r="P278" s="2">
        <f>SUM(kip[[#This Row],[Orders_Delivered_OnTime]]/kip[[#This Row],[Orders_Placed]]*100)</f>
        <v>82.474226804123703</v>
      </c>
    </row>
    <row r="279" spans="1:16" x14ac:dyDescent="0.3">
      <c r="A279" s="4" t="s">
        <v>318</v>
      </c>
      <c r="B279" s="2" t="s">
        <v>316</v>
      </c>
      <c r="C279" s="2" t="s">
        <v>17</v>
      </c>
      <c r="D279" s="2" t="s">
        <v>23</v>
      </c>
      <c r="E279" s="2" t="s">
        <v>24</v>
      </c>
      <c r="F279" s="2">
        <v>118</v>
      </c>
      <c r="G279" s="2">
        <v>108</v>
      </c>
      <c r="H279" s="2">
        <v>10</v>
      </c>
      <c r="I279" s="2">
        <v>733</v>
      </c>
      <c r="J279" s="2">
        <v>156</v>
      </c>
      <c r="K279" s="2">
        <v>3</v>
      </c>
      <c r="L279" s="2">
        <v>158774</v>
      </c>
      <c r="M279" s="2">
        <v>156002</v>
      </c>
      <c r="N279" s="2">
        <v>8</v>
      </c>
      <c r="O279" s="6">
        <v>118</v>
      </c>
      <c r="P279" s="2">
        <f>SUM(kip[[#This Row],[Orders_Delivered_OnTime]]/kip[[#This Row],[Orders_Placed]]*100)</f>
        <v>91.525423728813564</v>
      </c>
    </row>
    <row r="280" spans="1:16" x14ac:dyDescent="0.3">
      <c r="A280" s="3" t="s">
        <v>319</v>
      </c>
      <c r="B280" s="1" t="s">
        <v>316</v>
      </c>
      <c r="C280" s="1" t="s">
        <v>17</v>
      </c>
      <c r="D280" s="1" t="s">
        <v>26</v>
      </c>
      <c r="E280" s="1" t="s">
        <v>24</v>
      </c>
      <c r="F280" s="1">
        <v>160</v>
      </c>
      <c r="G280" s="1">
        <v>139</v>
      </c>
      <c r="H280" s="1">
        <v>21</v>
      </c>
      <c r="I280" s="1">
        <v>769</v>
      </c>
      <c r="J280" s="1">
        <v>226</v>
      </c>
      <c r="K280" s="1">
        <v>0</v>
      </c>
      <c r="L280" s="1">
        <v>170286</v>
      </c>
      <c r="M280" s="1">
        <v>201359</v>
      </c>
      <c r="N280" s="1">
        <v>10</v>
      </c>
      <c r="O280" s="5">
        <v>160</v>
      </c>
      <c r="P280" s="2">
        <f>SUM(kip[[#This Row],[Orders_Delivered_OnTime]]/kip[[#This Row],[Orders_Placed]]*100)</f>
        <v>86.875</v>
      </c>
    </row>
    <row r="281" spans="1:16" x14ac:dyDescent="0.3">
      <c r="A281" s="4" t="s">
        <v>320</v>
      </c>
      <c r="B281" s="2" t="s">
        <v>316</v>
      </c>
      <c r="C281" s="2" t="s">
        <v>17</v>
      </c>
      <c r="D281" s="2" t="s">
        <v>28</v>
      </c>
      <c r="E281" s="2" t="s">
        <v>32</v>
      </c>
      <c r="F281" s="2">
        <v>180</v>
      </c>
      <c r="G281" s="2">
        <v>149</v>
      </c>
      <c r="H281" s="2">
        <v>31</v>
      </c>
      <c r="I281" s="2">
        <v>626</v>
      </c>
      <c r="J281" s="2">
        <v>204</v>
      </c>
      <c r="K281" s="2">
        <v>1</v>
      </c>
      <c r="L281" s="2">
        <v>158613</v>
      </c>
      <c r="M281" s="2">
        <v>160665</v>
      </c>
      <c r="N281" s="2">
        <v>12</v>
      </c>
      <c r="O281" s="6">
        <v>180</v>
      </c>
      <c r="P281" s="2">
        <f>SUM(kip[[#This Row],[Orders_Delivered_OnTime]]/kip[[#This Row],[Orders_Placed]]*100)</f>
        <v>82.777777777777771</v>
      </c>
    </row>
    <row r="282" spans="1:16" x14ac:dyDescent="0.3">
      <c r="A282" s="3" t="s">
        <v>321</v>
      </c>
      <c r="B282" s="1" t="s">
        <v>316</v>
      </c>
      <c r="C282" s="1" t="s">
        <v>31</v>
      </c>
      <c r="D282" s="1" t="s">
        <v>18</v>
      </c>
      <c r="E282" s="1" t="s">
        <v>32</v>
      </c>
      <c r="F282" s="1">
        <v>110</v>
      </c>
      <c r="G282" s="1">
        <v>100</v>
      </c>
      <c r="H282" s="1">
        <v>10</v>
      </c>
      <c r="I282" s="1">
        <v>507</v>
      </c>
      <c r="J282" s="1">
        <v>281</v>
      </c>
      <c r="K282" s="1">
        <v>1</v>
      </c>
      <c r="L282" s="1">
        <v>201379</v>
      </c>
      <c r="M282" s="1">
        <v>236503</v>
      </c>
      <c r="N282" s="1">
        <v>8</v>
      </c>
      <c r="O282" s="5">
        <v>110</v>
      </c>
      <c r="P282" s="2">
        <f>SUM(kip[[#This Row],[Orders_Delivered_OnTime]]/kip[[#This Row],[Orders_Placed]]*100)</f>
        <v>90.909090909090907</v>
      </c>
    </row>
    <row r="283" spans="1:16" x14ac:dyDescent="0.3">
      <c r="A283" s="4" t="s">
        <v>322</v>
      </c>
      <c r="B283" s="2" t="s">
        <v>316</v>
      </c>
      <c r="C283" s="2" t="s">
        <v>31</v>
      </c>
      <c r="D283" s="2" t="s">
        <v>21</v>
      </c>
      <c r="E283" s="2" t="s">
        <v>32</v>
      </c>
      <c r="F283" s="2">
        <v>133</v>
      </c>
      <c r="G283" s="2">
        <v>111</v>
      </c>
      <c r="H283" s="2">
        <v>22</v>
      </c>
      <c r="I283" s="2">
        <v>337</v>
      </c>
      <c r="J283" s="2">
        <v>199</v>
      </c>
      <c r="K283" s="2">
        <v>1</v>
      </c>
      <c r="L283" s="2">
        <v>146845</v>
      </c>
      <c r="M283" s="2">
        <v>141118</v>
      </c>
      <c r="N283" s="2">
        <v>10</v>
      </c>
      <c r="O283" s="6">
        <v>133</v>
      </c>
      <c r="P283" s="2">
        <f>SUM(kip[[#This Row],[Orders_Delivered_OnTime]]/kip[[#This Row],[Orders_Placed]]*100)</f>
        <v>83.458646616541358</v>
      </c>
    </row>
    <row r="284" spans="1:16" x14ac:dyDescent="0.3">
      <c r="A284" s="3" t="s">
        <v>323</v>
      </c>
      <c r="B284" s="1" t="s">
        <v>316</v>
      </c>
      <c r="C284" s="1" t="s">
        <v>31</v>
      </c>
      <c r="D284" s="1" t="s">
        <v>23</v>
      </c>
      <c r="E284" s="1" t="s">
        <v>19</v>
      </c>
      <c r="F284" s="1">
        <v>198</v>
      </c>
      <c r="G284" s="1">
        <v>160</v>
      </c>
      <c r="H284" s="1">
        <v>38</v>
      </c>
      <c r="I284" s="1">
        <v>579</v>
      </c>
      <c r="J284" s="1">
        <v>123</v>
      </c>
      <c r="K284" s="1">
        <v>4</v>
      </c>
      <c r="L284" s="1">
        <v>129933</v>
      </c>
      <c r="M284" s="1">
        <v>118948</v>
      </c>
      <c r="N284" s="1">
        <v>12</v>
      </c>
      <c r="O284" s="5">
        <v>198</v>
      </c>
      <c r="P284" s="2">
        <f>SUM(kip[[#This Row],[Orders_Delivered_OnTime]]/kip[[#This Row],[Orders_Placed]]*100)</f>
        <v>80.808080808080803</v>
      </c>
    </row>
    <row r="285" spans="1:16" x14ac:dyDescent="0.3">
      <c r="A285" s="4" t="s">
        <v>324</v>
      </c>
      <c r="B285" s="2" t="s">
        <v>316</v>
      </c>
      <c r="C285" s="2" t="s">
        <v>31</v>
      </c>
      <c r="D285" s="2" t="s">
        <v>26</v>
      </c>
      <c r="E285" s="2" t="s">
        <v>19</v>
      </c>
      <c r="F285" s="2">
        <v>191</v>
      </c>
      <c r="G285" s="2">
        <v>137</v>
      </c>
      <c r="H285" s="2">
        <v>54</v>
      </c>
      <c r="I285" s="2">
        <v>772</v>
      </c>
      <c r="J285" s="2">
        <v>155</v>
      </c>
      <c r="K285" s="2">
        <v>3</v>
      </c>
      <c r="L285" s="2">
        <v>134759</v>
      </c>
      <c r="M285" s="2">
        <v>156433</v>
      </c>
      <c r="N285" s="2">
        <v>10</v>
      </c>
      <c r="O285" s="6">
        <v>191</v>
      </c>
      <c r="P285" s="2">
        <f>SUM(kip[[#This Row],[Orders_Delivered_OnTime]]/kip[[#This Row],[Orders_Placed]]*100)</f>
        <v>71.727748691099478</v>
      </c>
    </row>
    <row r="286" spans="1:16" x14ac:dyDescent="0.3">
      <c r="A286" s="3" t="s">
        <v>325</v>
      </c>
      <c r="B286" s="1" t="s">
        <v>316</v>
      </c>
      <c r="C286" s="1" t="s">
        <v>31</v>
      </c>
      <c r="D286" s="1" t="s">
        <v>28</v>
      </c>
      <c r="E286" s="1" t="s">
        <v>29</v>
      </c>
      <c r="F286" s="1">
        <v>196</v>
      </c>
      <c r="G286" s="1">
        <v>137</v>
      </c>
      <c r="H286" s="1">
        <v>59</v>
      </c>
      <c r="I286" s="1">
        <v>394</v>
      </c>
      <c r="J286" s="1">
        <v>289</v>
      </c>
      <c r="K286" s="1">
        <v>0</v>
      </c>
      <c r="L286" s="1">
        <v>205546</v>
      </c>
      <c r="M286" s="1">
        <v>241379</v>
      </c>
      <c r="N286" s="1">
        <v>6</v>
      </c>
      <c r="O286" s="5">
        <v>196</v>
      </c>
      <c r="P286" s="2">
        <f>SUM(kip[[#This Row],[Orders_Delivered_OnTime]]/kip[[#This Row],[Orders_Placed]]*100)</f>
        <v>69.897959183673478</v>
      </c>
    </row>
    <row r="287" spans="1:16" x14ac:dyDescent="0.3">
      <c r="A287" s="4" t="s">
        <v>326</v>
      </c>
      <c r="B287" s="2" t="s">
        <v>316</v>
      </c>
      <c r="C287" s="2" t="s">
        <v>38</v>
      </c>
      <c r="D287" s="2" t="s">
        <v>18</v>
      </c>
      <c r="E287" s="2" t="s">
        <v>32</v>
      </c>
      <c r="F287" s="2">
        <v>197</v>
      </c>
      <c r="G287" s="2">
        <v>149</v>
      </c>
      <c r="H287" s="2">
        <v>48</v>
      </c>
      <c r="I287" s="2">
        <v>529</v>
      </c>
      <c r="J287" s="2">
        <v>298</v>
      </c>
      <c r="K287" s="2">
        <v>2</v>
      </c>
      <c r="L287" s="2">
        <v>179788</v>
      </c>
      <c r="M287" s="2">
        <v>186957</v>
      </c>
      <c r="N287" s="2">
        <v>11</v>
      </c>
      <c r="O287" s="6">
        <v>197</v>
      </c>
      <c r="P287" s="2">
        <f>SUM(kip[[#This Row],[Orders_Delivered_OnTime]]/kip[[#This Row],[Orders_Placed]]*100)</f>
        <v>75.634517766497467</v>
      </c>
    </row>
    <row r="288" spans="1:16" x14ac:dyDescent="0.3">
      <c r="A288" s="3" t="s">
        <v>327</v>
      </c>
      <c r="B288" s="1" t="s">
        <v>316</v>
      </c>
      <c r="C288" s="1" t="s">
        <v>38</v>
      </c>
      <c r="D288" s="1" t="s">
        <v>21</v>
      </c>
      <c r="E288" s="1" t="s">
        <v>29</v>
      </c>
      <c r="F288" s="1">
        <v>113</v>
      </c>
      <c r="G288" s="1">
        <v>89</v>
      </c>
      <c r="H288" s="1">
        <v>24</v>
      </c>
      <c r="I288" s="1">
        <v>709</v>
      </c>
      <c r="J288" s="1">
        <v>219</v>
      </c>
      <c r="K288" s="1">
        <v>0</v>
      </c>
      <c r="L288" s="1">
        <v>203074</v>
      </c>
      <c r="M288" s="1">
        <v>229166</v>
      </c>
      <c r="N288" s="1">
        <v>5</v>
      </c>
      <c r="O288" s="5">
        <v>113</v>
      </c>
      <c r="P288" s="2">
        <f>SUM(kip[[#This Row],[Orders_Delivered_OnTime]]/kip[[#This Row],[Orders_Placed]]*100)</f>
        <v>78.761061946902657</v>
      </c>
    </row>
    <row r="289" spans="1:16" x14ac:dyDescent="0.3">
      <c r="A289" s="4" t="s">
        <v>328</v>
      </c>
      <c r="B289" s="2" t="s">
        <v>316</v>
      </c>
      <c r="C289" s="2" t="s">
        <v>38</v>
      </c>
      <c r="D289" s="2" t="s">
        <v>23</v>
      </c>
      <c r="E289" s="2" t="s">
        <v>24</v>
      </c>
      <c r="F289" s="2">
        <v>127</v>
      </c>
      <c r="G289" s="2">
        <v>98</v>
      </c>
      <c r="H289" s="2">
        <v>29</v>
      </c>
      <c r="I289" s="2">
        <v>246</v>
      </c>
      <c r="J289" s="2">
        <v>244</v>
      </c>
      <c r="K289" s="2">
        <v>1</v>
      </c>
      <c r="L289" s="2">
        <v>118252</v>
      </c>
      <c r="M289" s="2">
        <v>107002</v>
      </c>
      <c r="N289" s="2">
        <v>8</v>
      </c>
      <c r="O289" s="6">
        <v>127</v>
      </c>
      <c r="P289" s="2">
        <f>SUM(kip[[#This Row],[Orders_Delivered_OnTime]]/kip[[#This Row],[Orders_Placed]]*100)</f>
        <v>77.165354330708652</v>
      </c>
    </row>
    <row r="290" spans="1:16" x14ac:dyDescent="0.3">
      <c r="A290" s="3" t="s">
        <v>329</v>
      </c>
      <c r="B290" s="1" t="s">
        <v>316</v>
      </c>
      <c r="C290" s="1" t="s">
        <v>38</v>
      </c>
      <c r="D290" s="1" t="s">
        <v>26</v>
      </c>
      <c r="E290" s="1" t="s">
        <v>32</v>
      </c>
      <c r="F290" s="1">
        <v>117</v>
      </c>
      <c r="G290" s="1">
        <v>86</v>
      </c>
      <c r="H290" s="1">
        <v>31</v>
      </c>
      <c r="I290" s="1">
        <v>537</v>
      </c>
      <c r="J290" s="1">
        <v>158</v>
      </c>
      <c r="K290" s="1">
        <v>3</v>
      </c>
      <c r="L290" s="1">
        <v>229366</v>
      </c>
      <c r="M290" s="1">
        <v>263772</v>
      </c>
      <c r="N290" s="1">
        <v>7</v>
      </c>
      <c r="O290" s="5">
        <v>117</v>
      </c>
      <c r="P290" s="2">
        <f>SUM(kip[[#This Row],[Orders_Delivered_OnTime]]/kip[[#This Row],[Orders_Placed]]*100)</f>
        <v>73.504273504273513</v>
      </c>
    </row>
    <row r="291" spans="1:16" x14ac:dyDescent="0.3">
      <c r="A291" s="4" t="s">
        <v>330</v>
      </c>
      <c r="B291" s="2" t="s">
        <v>316</v>
      </c>
      <c r="C291" s="2" t="s">
        <v>38</v>
      </c>
      <c r="D291" s="2" t="s">
        <v>28</v>
      </c>
      <c r="E291" s="2" t="s">
        <v>29</v>
      </c>
      <c r="F291" s="2">
        <v>112</v>
      </c>
      <c r="G291" s="2">
        <v>99</v>
      </c>
      <c r="H291" s="2">
        <v>13</v>
      </c>
      <c r="I291" s="2">
        <v>700</v>
      </c>
      <c r="J291" s="2">
        <v>285</v>
      </c>
      <c r="K291" s="2">
        <v>5</v>
      </c>
      <c r="L291" s="2">
        <v>208606</v>
      </c>
      <c r="M291" s="2">
        <v>216584</v>
      </c>
      <c r="N291" s="2">
        <v>5</v>
      </c>
      <c r="O291" s="6">
        <v>112</v>
      </c>
      <c r="P291" s="2">
        <f>SUM(kip[[#This Row],[Orders_Delivered_OnTime]]/kip[[#This Row],[Orders_Placed]]*100)</f>
        <v>88.392857142857139</v>
      </c>
    </row>
    <row r="292" spans="1:16" x14ac:dyDescent="0.3">
      <c r="A292" s="3" t="s">
        <v>331</v>
      </c>
      <c r="B292" s="1" t="s">
        <v>316</v>
      </c>
      <c r="C292" s="1" t="s">
        <v>44</v>
      </c>
      <c r="D292" s="1" t="s">
        <v>18</v>
      </c>
      <c r="E292" s="1" t="s">
        <v>24</v>
      </c>
      <c r="F292" s="1">
        <v>97</v>
      </c>
      <c r="G292" s="1">
        <v>85</v>
      </c>
      <c r="H292" s="1">
        <v>12</v>
      </c>
      <c r="I292" s="1">
        <v>700</v>
      </c>
      <c r="J292" s="1">
        <v>147</v>
      </c>
      <c r="K292" s="1">
        <v>4</v>
      </c>
      <c r="L292" s="1">
        <v>248246</v>
      </c>
      <c r="M292" s="1">
        <v>294710</v>
      </c>
      <c r="N292" s="1">
        <v>0</v>
      </c>
      <c r="O292" s="5">
        <v>97</v>
      </c>
      <c r="P292" s="2">
        <f>SUM(kip[[#This Row],[Orders_Delivered_OnTime]]/kip[[#This Row],[Orders_Placed]]*100)</f>
        <v>87.628865979381445</v>
      </c>
    </row>
    <row r="293" spans="1:16" x14ac:dyDescent="0.3">
      <c r="A293" s="4" t="s">
        <v>332</v>
      </c>
      <c r="B293" s="2" t="s">
        <v>316</v>
      </c>
      <c r="C293" s="2" t="s">
        <v>44</v>
      </c>
      <c r="D293" s="2" t="s">
        <v>21</v>
      </c>
      <c r="E293" s="2" t="s">
        <v>19</v>
      </c>
      <c r="F293" s="2">
        <v>200</v>
      </c>
      <c r="G293" s="2">
        <v>180</v>
      </c>
      <c r="H293" s="2">
        <v>20</v>
      </c>
      <c r="I293" s="2">
        <v>249</v>
      </c>
      <c r="J293" s="2">
        <v>295</v>
      </c>
      <c r="K293" s="2">
        <v>0</v>
      </c>
      <c r="L293" s="2">
        <v>188106</v>
      </c>
      <c r="M293" s="2">
        <v>177054</v>
      </c>
      <c r="N293" s="2">
        <v>7</v>
      </c>
      <c r="O293" s="6">
        <v>200</v>
      </c>
      <c r="P293" s="2">
        <f>SUM(kip[[#This Row],[Orders_Delivered_OnTime]]/kip[[#This Row],[Orders_Placed]]*100)</f>
        <v>90</v>
      </c>
    </row>
    <row r="294" spans="1:16" x14ac:dyDescent="0.3">
      <c r="A294" s="3" t="s">
        <v>333</v>
      </c>
      <c r="B294" s="1" t="s">
        <v>316</v>
      </c>
      <c r="C294" s="1" t="s">
        <v>44</v>
      </c>
      <c r="D294" s="1" t="s">
        <v>23</v>
      </c>
      <c r="E294" s="1" t="s">
        <v>19</v>
      </c>
      <c r="F294" s="1">
        <v>170</v>
      </c>
      <c r="G294" s="1">
        <v>125</v>
      </c>
      <c r="H294" s="1">
        <v>45</v>
      </c>
      <c r="I294" s="1">
        <v>423</v>
      </c>
      <c r="J294" s="1">
        <v>229</v>
      </c>
      <c r="K294" s="1">
        <v>3</v>
      </c>
      <c r="L294" s="1">
        <v>177832</v>
      </c>
      <c r="M294" s="1">
        <v>163273</v>
      </c>
      <c r="N294" s="1">
        <v>10</v>
      </c>
      <c r="O294" s="5">
        <v>170</v>
      </c>
      <c r="P294" s="2">
        <f>SUM(kip[[#This Row],[Orders_Delivered_OnTime]]/kip[[#This Row],[Orders_Placed]]*100)</f>
        <v>73.529411764705884</v>
      </c>
    </row>
    <row r="295" spans="1:16" x14ac:dyDescent="0.3">
      <c r="A295" s="4" t="s">
        <v>334</v>
      </c>
      <c r="B295" s="2" t="s">
        <v>316</v>
      </c>
      <c r="C295" s="2" t="s">
        <v>44</v>
      </c>
      <c r="D295" s="2" t="s">
        <v>26</v>
      </c>
      <c r="E295" s="2" t="s">
        <v>32</v>
      </c>
      <c r="F295" s="2">
        <v>164</v>
      </c>
      <c r="G295" s="2">
        <v>134</v>
      </c>
      <c r="H295" s="2">
        <v>30</v>
      </c>
      <c r="I295" s="2">
        <v>206</v>
      </c>
      <c r="J295" s="2">
        <v>236</v>
      </c>
      <c r="K295" s="2">
        <v>4</v>
      </c>
      <c r="L295" s="2">
        <v>187829</v>
      </c>
      <c r="M295" s="2">
        <v>169713</v>
      </c>
      <c r="N295" s="2">
        <v>8</v>
      </c>
      <c r="O295" s="6">
        <v>164</v>
      </c>
      <c r="P295" s="2">
        <f>SUM(kip[[#This Row],[Orders_Delivered_OnTime]]/kip[[#This Row],[Orders_Placed]]*100)</f>
        <v>81.707317073170728</v>
      </c>
    </row>
    <row r="296" spans="1:16" x14ac:dyDescent="0.3">
      <c r="A296" s="3" t="s">
        <v>335</v>
      </c>
      <c r="B296" s="1" t="s">
        <v>316</v>
      </c>
      <c r="C296" s="1" t="s">
        <v>44</v>
      </c>
      <c r="D296" s="1" t="s">
        <v>28</v>
      </c>
      <c r="E296" s="1" t="s">
        <v>29</v>
      </c>
      <c r="F296" s="1">
        <v>148</v>
      </c>
      <c r="G296" s="1">
        <v>139</v>
      </c>
      <c r="H296" s="1">
        <v>9</v>
      </c>
      <c r="I296" s="1">
        <v>217</v>
      </c>
      <c r="J296" s="1">
        <v>228</v>
      </c>
      <c r="K296" s="1">
        <v>5</v>
      </c>
      <c r="L296" s="1">
        <v>192872</v>
      </c>
      <c r="M296" s="1">
        <v>220230</v>
      </c>
      <c r="N296" s="1">
        <v>2</v>
      </c>
      <c r="O296" s="5">
        <v>148</v>
      </c>
      <c r="P296" s="2">
        <f>SUM(kip[[#This Row],[Orders_Delivered_OnTime]]/kip[[#This Row],[Orders_Placed]]*100)</f>
        <v>93.918918918918919</v>
      </c>
    </row>
    <row r="297" spans="1:16" x14ac:dyDescent="0.3">
      <c r="A297" s="4" t="s">
        <v>336</v>
      </c>
      <c r="B297" s="2" t="s">
        <v>316</v>
      </c>
      <c r="C297" s="2" t="s">
        <v>50</v>
      </c>
      <c r="D297" s="2" t="s">
        <v>18</v>
      </c>
      <c r="E297" s="2" t="s">
        <v>19</v>
      </c>
      <c r="F297" s="2">
        <v>197</v>
      </c>
      <c r="G297" s="2">
        <v>142</v>
      </c>
      <c r="H297" s="2">
        <v>55</v>
      </c>
      <c r="I297" s="2">
        <v>352</v>
      </c>
      <c r="J297" s="2">
        <v>161</v>
      </c>
      <c r="K297" s="2">
        <v>1</v>
      </c>
      <c r="L297" s="2">
        <v>242471</v>
      </c>
      <c r="M297" s="2">
        <v>256518</v>
      </c>
      <c r="N297" s="2">
        <v>11</v>
      </c>
      <c r="O297" s="6">
        <v>197</v>
      </c>
      <c r="P297" s="2">
        <f>SUM(kip[[#This Row],[Orders_Delivered_OnTime]]/kip[[#This Row],[Orders_Placed]]*100)</f>
        <v>72.081218274111677</v>
      </c>
    </row>
    <row r="298" spans="1:16" x14ac:dyDescent="0.3">
      <c r="A298" s="3" t="s">
        <v>337</v>
      </c>
      <c r="B298" s="1" t="s">
        <v>316</v>
      </c>
      <c r="C298" s="1" t="s">
        <v>50</v>
      </c>
      <c r="D298" s="1" t="s">
        <v>21</v>
      </c>
      <c r="E298" s="1" t="s">
        <v>29</v>
      </c>
      <c r="F298" s="1">
        <v>181</v>
      </c>
      <c r="G298" s="1">
        <v>144</v>
      </c>
      <c r="H298" s="1">
        <v>37</v>
      </c>
      <c r="I298" s="1">
        <v>582</v>
      </c>
      <c r="J298" s="1">
        <v>203</v>
      </c>
      <c r="K298" s="1">
        <v>3</v>
      </c>
      <c r="L298" s="1">
        <v>228111</v>
      </c>
      <c r="M298" s="1">
        <v>221943</v>
      </c>
      <c r="N298" s="1">
        <v>11</v>
      </c>
      <c r="O298" s="5">
        <v>181</v>
      </c>
      <c r="P298" s="2">
        <f>SUM(kip[[#This Row],[Orders_Delivered_OnTime]]/kip[[#This Row],[Orders_Placed]]*100)</f>
        <v>79.55801104972376</v>
      </c>
    </row>
    <row r="299" spans="1:16" x14ac:dyDescent="0.3">
      <c r="A299" s="4" t="s">
        <v>338</v>
      </c>
      <c r="B299" s="2" t="s">
        <v>316</v>
      </c>
      <c r="C299" s="2" t="s">
        <v>50</v>
      </c>
      <c r="D299" s="2" t="s">
        <v>23</v>
      </c>
      <c r="E299" s="2" t="s">
        <v>24</v>
      </c>
      <c r="F299" s="2">
        <v>118</v>
      </c>
      <c r="G299" s="2">
        <v>102</v>
      </c>
      <c r="H299" s="2">
        <v>16</v>
      </c>
      <c r="I299" s="2">
        <v>282</v>
      </c>
      <c r="J299" s="2">
        <v>267</v>
      </c>
      <c r="K299" s="2">
        <v>5</v>
      </c>
      <c r="L299" s="2">
        <v>88305</v>
      </c>
      <c r="M299" s="2">
        <v>81951</v>
      </c>
      <c r="N299" s="2">
        <v>6</v>
      </c>
      <c r="O299" s="6">
        <v>118</v>
      </c>
      <c r="P299" s="2">
        <f>SUM(kip[[#This Row],[Orders_Delivered_OnTime]]/kip[[#This Row],[Orders_Placed]]*100)</f>
        <v>86.440677966101703</v>
      </c>
    </row>
    <row r="300" spans="1:16" x14ac:dyDescent="0.3">
      <c r="A300" s="3" t="s">
        <v>339</v>
      </c>
      <c r="B300" s="1" t="s">
        <v>316</v>
      </c>
      <c r="C300" s="1" t="s">
        <v>50</v>
      </c>
      <c r="D300" s="1" t="s">
        <v>26</v>
      </c>
      <c r="E300" s="1" t="s">
        <v>32</v>
      </c>
      <c r="F300" s="1">
        <v>150</v>
      </c>
      <c r="G300" s="1">
        <v>122</v>
      </c>
      <c r="H300" s="1">
        <v>28</v>
      </c>
      <c r="I300" s="1">
        <v>209</v>
      </c>
      <c r="J300" s="1">
        <v>279</v>
      </c>
      <c r="K300" s="1">
        <v>1</v>
      </c>
      <c r="L300" s="1">
        <v>101675</v>
      </c>
      <c r="M300" s="1">
        <v>106754</v>
      </c>
      <c r="N300" s="1">
        <v>6</v>
      </c>
      <c r="O300" s="5">
        <v>150</v>
      </c>
      <c r="P300" s="2">
        <f>SUM(kip[[#This Row],[Orders_Delivered_OnTime]]/kip[[#This Row],[Orders_Placed]]*100)</f>
        <v>81.333333333333329</v>
      </c>
    </row>
    <row r="301" spans="1:16" x14ac:dyDescent="0.3">
      <c r="A301" s="10" t="s">
        <v>340</v>
      </c>
      <c r="B301" s="11" t="s">
        <v>316</v>
      </c>
      <c r="C301" s="11" t="s">
        <v>50</v>
      </c>
      <c r="D301" s="11" t="s">
        <v>28</v>
      </c>
      <c r="E301" s="11" t="s">
        <v>29</v>
      </c>
      <c r="F301" s="11">
        <v>152</v>
      </c>
      <c r="G301" s="11">
        <v>143</v>
      </c>
      <c r="H301" s="11">
        <v>9</v>
      </c>
      <c r="I301" s="11">
        <v>297</v>
      </c>
      <c r="J301" s="11">
        <v>235</v>
      </c>
      <c r="K301" s="11">
        <v>0</v>
      </c>
      <c r="L301" s="11">
        <v>140231</v>
      </c>
      <c r="M301" s="11">
        <v>135102</v>
      </c>
      <c r="N301" s="11">
        <v>11</v>
      </c>
      <c r="O301" s="12">
        <v>152</v>
      </c>
      <c r="P301" s="2">
        <f>SUM(kip[[#This Row],[Orders_Delivered_OnTime]]/kip[[#This Row],[Orders_Placed]]*100)</f>
        <v>94.078947368421055</v>
      </c>
    </row>
    <row r="302" spans="1:16" x14ac:dyDescent="0.3">
      <c r="A302" s="10"/>
      <c r="B302" s="11"/>
      <c r="C302" s="11"/>
      <c r="D302" s="11"/>
      <c r="E302" s="11"/>
      <c r="F302" s="11">
        <f>SUBTOTAL(109,kip[Orders_Placed])</f>
        <v>42473</v>
      </c>
      <c r="G302" s="11">
        <f>SUBTOTAL(109,kip[Orders_Delivered_OnTime])</f>
        <v>34959</v>
      </c>
      <c r="H302" s="11">
        <f>SUBTOTAL(109,kip[Orders_Delayed])</f>
        <v>7514</v>
      </c>
      <c r="I302" s="11">
        <f>SUBTOTAL(109,kip[Inventory_Level])</f>
        <v>155405</v>
      </c>
      <c r="J302" s="11">
        <f>SUBTOTAL(109,kip[Reorder_Point])</f>
        <v>60470</v>
      </c>
      <c r="K302" s="11">
        <f>SUBTOTAL(109,kip[Stockout_Days])</f>
        <v>803</v>
      </c>
      <c r="L302" s="11">
        <f>SUBTOTAL(109,kip[Procurement_Cost_INR])</f>
        <v>49756067</v>
      </c>
      <c r="M302" s="11">
        <f>SUBTOTAL(109,kip[Budget_INR])</f>
        <v>52159351</v>
      </c>
      <c r="N302" s="11">
        <f>SUBTOTAL(109,kip[Defect_Units])</f>
        <v>1640</v>
      </c>
      <c r="O302" s="12">
        <f>SUBTOTAL(109,kip[Total_Units])</f>
        <v>42473</v>
      </c>
      <c r="P302" s="18"/>
    </row>
  </sheetData>
  <conditionalFormatting sqref="P2">
    <cfRule type="cellIs" dxfId="17" priority="1" operator="greaterThan">
      <formula>" &gt;= 90 "</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ADA2-B6E9-4662-B979-22D035EDF1DE}">
  <dimension ref="A2:H4"/>
  <sheetViews>
    <sheetView showGridLines="0" zoomScaleNormal="100" workbookViewId="0">
      <selection activeCell="F4" sqref="F4"/>
    </sheetView>
  </sheetViews>
  <sheetFormatPr defaultRowHeight="14.4" x14ac:dyDescent="0.3"/>
  <sheetData>
    <row r="2" spans="1:8" ht="18" x14ac:dyDescent="0.35">
      <c r="A2" s="19"/>
      <c r="H2" s="20" t="s">
        <v>350</v>
      </c>
    </row>
    <row r="4" spans="1:8" x14ac:dyDescent="0.3">
      <c r="F4" s="21" t="s">
        <v>351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Sheet3</vt:lpstr>
      <vt:lpstr>KPI_summary</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Siriki</cp:lastModifiedBy>
  <dcterms:created xsi:type="dcterms:W3CDTF">2026-05-13T06:37:54Z</dcterms:created>
  <dcterms:modified xsi:type="dcterms:W3CDTF">2026-05-13T09:20:03Z</dcterms:modified>
</cp:coreProperties>
</file>